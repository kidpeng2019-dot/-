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idpe\Desktop\"/>
    </mc:Choice>
  </mc:AlternateContent>
  <bookViews>
    <workbookView windowHeight="17655"/>
  </bookViews>
  <sheets>
    <sheet name="汇总" sheetId="6" r:id="rId1"/>
    <sheet name="费用构成" sheetId="4" r:id="rId2"/>
    <sheet name="明细" sheetId="1" r:id="rId3"/>
    <sheet name="市公司结算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<sst xmlns="http://schemas.openxmlformats.org/spreadsheetml/2006/main" count="226" uniqueCount="124">
  <si>
    <t>自动化调试收支情况</t>
  </si>
  <si>
    <t>年份</t>
  </si>
  <si>
    <t>上游结算（按华源签报）约人工费用的70%</t>
  </si>
  <si>
    <t>下游支出</t>
  </si>
  <si>
    <t>缺口</t>
  </si>
  <si>
    <t>FTU调试</t>
  </si>
  <si>
    <t>DTU调试</t>
  </si>
  <si>
    <t>华源</t>
  </si>
  <si>
    <t>海翔</t>
  </si>
  <si>
    <t>设计院
（响水兴源）</t>
  </si>
  <si>
    <t>公司支出</t>
  </si>
  <si>
    <t>协作支出</t>
  </si>
  <si>
    <t>534*0.7=373.8</t>
  </si>
  <si>
    <t>699.7*0.7=489.79</t>
  </si>
  <si>
    <t>21年5-12月</t>
  </si>
  <si>
    <t>华源签报358.14</t>
  </si>
  <si>
    <t>22年</t>
  </si>
  <si>
    <t>23年</t>
  </si>
  <si>
    <t>24年</t>
  </si>
  <si>
    <t>25年</t>
  </si>
  <si>
    <t>合计</t>
  </si>
  <si>
    <t>上游结算（按市公司结算价50%）</t>
  </si>
  <si>
    <t>1085.91*0.5=542.955</t>
  </si>
  <si>
    <t>1459.58*0.5=729.79</t>
  </si>
  <si>
    <t>上游结算（按市公司结算价70%）</t>
  </si>
  <si>
    <t>1085.91*0.7=760.137</t>
  </si>
  <si>
    <t>1459.58*0.7=1021.706</t>
  </si>
  <si>
    <t>上游结算（按照市场价FTU调试1000元一台、DTU1400元一台）</t>
  </si>
  <si>
    <t>说明：1、21年5月起至今承接配电自动化终端调试任务。
      2、24年响水兴源调试费用已结。</t>
  </si>
  <si>
    <t>上游收入</t>
  </si>
  <si>
    <t>自动化数（台）</t>
  </si>
  <si>
    <t>上游结算费用
（按市公司50%）</t>
  </si>
  <si>
    <t>上游结算费用
（按市公司70%）</t>
  </si>
  <si>
    <t>上游按华源签报结算费用</t>
  </si>
  <si>
    <t>按照市场价FTU调试1000元一台、DTU1400元一台</t>
  </si>
  <si>
    <t>备注</t>
  </si>
  <si>
    <t>FTU</t>
  </si>
  <si>
    <t>DTU</t>
  </si>
  <si>
    <t>2024年响水兴源调试FTU416台、DTU50台按华源签报结算173186.74元，按50%少结算89172.04元；按70%少结算194115.55元</t>
  </si>
  <si>
    <t>盐开支出费用</t>
  </si>
  <si>
    <t>人员</t>
  </si>
  <si>
    <t>人员工资</t>
  </si>
  <si>
    <t>车辆费用</t>
  </si>
  <si>
    <t>累计</t>
  </si>
  <si>
    <t>22年1-6月</t>
  </si>
  <si>
    <t>24年2-12月</t>
  </si>
  <si>
    <t>4-7</t>
  </si>
  <si>
    <t>25年全年</t>
  </si>
  <si>
    <t>6-7</t>
  </si>
  <si>
    <t>盐开协作
支出费用</t>
  </si>
  <si>
    <t>协作单位</t>
  </si>
  <si>
    <t>大工天数</t>
  </si>
  <si>
    <t>小工天数</t>
  </si>
  <si>
    <t>人工费用</t>
  </si>
  <si>
    <t>22年7-12月</t>
  </si>
  <si>
    <t>25年4-12月</t>
  </si>
  <si>
    <t>注：1、24年前FTU和DTU调试、验收、质保需去施工队仓库和施工现场。
    2、24年部分计划内FTU调试在盐开，FTU验收、FTU质保、DTU调试、DTU验收、DTU质保需去施工队仓库和施工现场。
    3、25年以来FTU调试全部在盐开，其他工作内容同24年。</t>
  </si>
  <si>
    <t>上游结算费用</t>
  </si>
  <si>
    <t>调试单价</t>
  </si>
  <si>
    <t>FTU一台
（元）</t>
  </si>
  <si>
    <t>DTU一台
（元）</t>
  </si>
  <si>
    <t>下游</t>
  </si>
  <si>
    <t>调试大工
（元）</t>
  </si>
  <si>
    <t>调试小工
（元）</t>
  </si>
  <si>
    <t>公司车辆</t>
  </si>
  <si>
    <t>协作单位车辆</t>
  </si>
  <si>
    <t>每天定额</t>
  </si>
  <si>
    <t>FTU数量（台）</t>
  </si>
  <si>
    <t>DTU数量（台）</t>
  </si>
  <si>
    <t>上游可结算
（元）</t>
  </si>
  <si>
    <t>下游费用</t>
  </si>
  <si>
    <t>应出勤天数</t>
  </si>
  <si>
    <t>核对后数据</t>
  </si>
  <si>
    <t>收到计划任务
（已完成）</t>
  </si>
  <si>
    <t>自有</t>
  </si>
  <si>
    <t>协作</t>
  </si>
  <si>
    <t>费用合计</t>
  </si>
  <si>
    <t>大工人数</t>
  </si>
  <si>
    <t>天数</t>
  </si>
  <si>
    <t>车辆</t>
  </si>
  <si>
    <t>小工人数</t>
  </si>
  <si>
    <t>21年合计</t>
  </si>
  <si>
    <t>22年合计</t>
  </si>
  <si>
    <t>23年合计</t>
  </si>
  <si>
    <t>24年合计</t>
  </si>
  <si>
    <t>25年合计</t>
  </si>
  <si>
    <t>注：1、25年以前为华源核对数据，其中重复调试、调试后取消被核减，每年量约占25%，所以存在收到的计划和实际结算数量差。
    2、盐开因调试所增加的设备、工器具、人员培训等费用未统计。
    3、25年前的物联网卡费用未统计。
    4、TTU调试费用未统计。</t>
  </si>
  <si>
    <t>1台FTU调试费用测算</t>
  </si>
  <si>
    <t>测算过程</t>
  </si>
  <si>
    <t>直接费</t>
  </si>
  <si>
    <t>间接费</t>
  </si>
  <si>
    <t>利润(12.4)</t>
  </si>
  <si>
    <t>编制基准期价差</t>
  </si>
  <si>
    <t>税金（9%）</t>
  </si>
  <si>
    <t>编制依据</t>
  </si>
  <si>
    <t>定额名称</t>
  </si>
  <si>
    <t>定额基价（元）</t>
  </si>
  <si>
    <t>合计（元）</t>
  </si>
  <si>
    <t>滚费后总计（元）</t>
  </si>
  <si>
    <t>直接工程费</t>
  </si>
  <si>
    <t>措施费</t>
  </si>
  <si>
    <t>规费</t>
  </si>
  <si>
    <t>企业管理费19.19</t>
  </si>
  <si>
    <t>人工费</t>
  </si>
  <si>
    <t>材料费</t>
  </si>
  <si>
    <t>施工机械使用费</t>
  </si>
  <si>
    <t>冬雨季施工增加费(3.25)</t>
  </si>
  <si>
    <t>夜间施工增加费</t>
  </si>
  <si>
    <t>施工工具用具使用费（2.03）</t>
  </si>
  <si>
    <t>特殊地区施工增加费</t>
  </si>
  <si>
    <t>安全文明施工费（23.43）</t>
  </si>
  <si>
    <t>社会保险费（27.3%）</t>
  </si>
  <si>
    <t>住房公积金（12%）</t>
  </si>
  <si>
    <t>计价材料费</t>
  </si>
  <si>
    <t>未计价材料费</t>
  </si>
  <si>
    <t>PX6-41</t>
  </si>
  <si>
    <t>配电装置系统调试 配电系统调试 10kV</t>
  </si>
  <si>
    <t>PZ2-37</t>
  </si>
  <si>
    <t>配电自动化系统调试 主（子）站与终端联调 线路回路 2以下</t>
  </si>
  <si>
    <t>1台DTU调试费用测算</t>
  </si>
  <si>
    <t>PZ2-38</t>
  </si>
  <si>
    <t>配电自动化系统调试 主（子）站与终端联调 线路回路 6以下</t>
  </si>
  <si>
    <t>PZ2-2</t>
  </si>
  <si>
    <t>配电自动化设备 配电自动化终端装置安装调测 站所终端（DTU） 线路回数 6以内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</si>
</sst>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#,##0.00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6" borderId="21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7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0" fillId="0" borderId="0" xfId="50">
      <alignment vertical="center"/>
    </xf>
    <xf numFmtId="0" fontId="1" fillId="0" borderId="1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2" fillId="0" borderId="5" xfId="50" applyFont="1" applyBorder="1" applyAlignment="1">
      <alignment horizontal="center" vertical="center" wrapText="1"/>
    </xf>
    <xf numFmtId="0" fontId="2" fillId="0" borderId="6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3" fillId="0" borderId="5" xfId="50" applyFont="1" applyBorder="1" applyAlignment="1">
      <alignment horizontal="center" vertical="center" wrapText="1"/>
    </xf>
    <xf numFmtId="0" fontId="3" fillId="0" borderId="5" xfId="50" applyFont="1" applyBorder="1" applyAlignment="1">
      <alignment horizontal="center" vertical="center" shrinkToFit="1"/>
    </xf>
    <xf numFmtId="0" fontId="0" fillId="0" borderId="5" xfId="50" applyBorder="1" applyAlignment="1">
      <alignment horizontal="center" vertical="center"/>
    </xf>
    <xf numFmtId="0" fontId="0" fillId="2" borderId="6" xfId="50" applyFill="1" applyBorder="1" applyAlignment="1">
      <alignment horizontal="center" vertical="center"/>
    </xf>
    <xf numFmtId="176" fontId="4" fillId="0" borderId="4" xfId="50" applyNumberFormat="1" applyFont="1" applyBorder="1" applyAlignment="1">
      <alignment horizontal="center" vertical="center"/>
    </xf>
    <xf numFmtId="176" fontId="4" fillId="0" borderId="5" xfId="50" applyNumberFormat="1" applyFont="1" applyBorder="1" applyAlignment="1">
      <alignment horizontal="center" vertical="center"/>
    </xf>
    <xf numFmtId="176" fontId="4" fillId="0" borderId="6" xfId="50" applyNumberFormat="1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 wrapText="1"/>
    </xf>
    <xf numFmtId="0" fontId="3" fillId="0" borderId="8" xfId="50" applyFont="1" applyBorder="1" applyAlignment="1">
      <alignment horizontal="center" vertical="center" wrapText="1"/>
    </xf>
    <xf numFmtId="0" fontId="3" fillId="0" borderId="8" xfId="50" applyFont="1" applyBorder="1" applyAlignment="1">
      <alignment horizontal="center" vertical="center" shrinkToFit="1"/>
    </xf>
    <xf numFmtId="0" fontId="0" fillId="0" borderId="8" xfId="50" applyBorder="1" applyAlignment="1">
      <alignment horizontal="center" vertical="center"/>
    </xf>
    <xf numFmtId="0" fontId="0" fillId="2" borderId="9" xfId="50" applyFill="1" applyBorder="1" applyAlignment="1">
      <alignment horizontal="center" vertical="center"/>
    </xf>
    <xf numFmtId="176" fontId="4" fillId="0" borderId="7" xfId="50" applyNumberFormat="1" applyFont="1" applyBorder="1" applyAlignment="1">
      <alignment horizontal="center" vertical="center"/>
    </xf>
    <xf numFmtId="176" fontId="4" fillId="0" borderId="8" xfId="50" applyNumberFormat="1" applyFont="1" applyBorder="1" applyAlignment="1">
      <alignment horizontal="center" vertical="center"/>
    </xf>
    <xf numFmtId="176" fontId="4" fillId="0" borderId="9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 wrapText="1"/>
    </xf>
    <xf numFmtId="0" fontId="1" fillId="0" borderId="0" xfId="50" applyFont="1" applyAlignment="1">
      <alignment horizontal="center" vertical="center"/>
    </xf>
    <xf numFmtId="0" fontId="5" fillId="0" borderId="4" xfId="50" applyFont="1" applyBorder="1" applyAlignment="1">
      <alignment horizontal="center" vertical="center" wrapText="1"/>
    </xf>
    <xf numFmtId="0" fontId="5" fillId="0" borderId="5" xfId="50" applyFont="1" applyBorder="1" applyAlignment="1">
      <alignment horizontal="center" vertical="center" wrapText="1"/>
    </xf>
    <xf numFmtId="0" fontId="5" fillId="0" borderId="5" xfId="50" applyFont="1" applyBorder="1" applyAlignment="1">
      <alignment horizontal="center" vertical="center" shrinkToFit="1"/>
    </xf>
    <xf numFmtId="0" fontId="5" fillId="0" borderId="7" xfId="50" applyFont="1" applyBorder="1" applyAlignment="1">
      <alignment horizontal="center" vertical="center" wrapText="1"/>
    </xf>
    <xf numFmtId="0" fontId="5" fillId="0" borderId="8" xfId="50" applyFont="1" applyBorder="1" applyAlignment="1">
      <alignment horizontal="center" vertical="center" wrapText="1"/>
    </xf>
    <xf numFmtId="0" fontId="5" fillId="0" borderId="8" xfId="5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3" borderId="5" xfId="0" applyFill="1" applyBorder="1" applyAlignment="1">
      <alignment horizontal="right" vertical="center"/>
    </xf>
    <xf numFmtId="0" fontId="6" fillId="0" borderId="1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>
      <alignment vertical="center"/>
    </xf>
    <xf numFmtId="0" fontId="6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6" fillId="0" borderId="1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 wrapText="1"/>
    </xf>
    <xf numFmtId="177" fontId="8" fillId="0" borderId="5" xfId="0" applyNumberFormat="1" applyFont="1" applyBorder="1" applyAlignment="1">
      <alignment horizontal="right" vertical="center"/>
    </xf>
    <xf numFmtId="4" fontId="8" fillId="0" borderId="5" xfId="0" applyNumberFormat="1" applyFont="1" applyBorder="1" applyAlignment="1">
      <alignment vertical="center"/>
    </xf>
    <xf numFmtId="4" fontId="8" fillId="0" borderId="5" xfId="0" applyNumberFormat="1" applyFont="1" applyBorder="1" applyAlignment="1">
      <alignment vertical="center" wrapText="1"/>
    </xf>
    <xf numFmtId="4" fontId="8" fillId="0" borderId="5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8" fillId="0" borderId="5" xfId="0" applyFont="1" applyBorder="1">
      <alignment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77" fontId="8" fillId="0" borderId="5" xfId="0" applyNumberFormat="1" applyFont="1" applyBorder="1">
      <alignment vertical="center"/>
    </xf>
    <xf numFmtId="178" fontId="8" fillId="0" borderId="5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77" fontId="8" fillId="2" borderId="5" xfId="0" applyNumberFormat="1" applyFont="1" applyFill="1" applyBorder="1" applyAlignment="1">
      <alignment horizontal="right" vertical="center"/>
    </xf>
    <xf numFmtId="177" fontId="8" fillId="0" borderId="5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5"/>
  <sheetViews>
    <sheetView tabSelected="1" zoomScale="55" zoomScaleNormal="55" workbookViewId="0">
      <selection activeCell="I36" sqref="I36"/>
    </sheetView>
  </sheetViews>
  <sheetFormatPr defaultColWidth="9" defaultRowHeight="20.25"/>
  <cols>
    <col min="1" max="1" width="19.5044247787611" style="86" customWidth="1"/>
    <col min="2" max="7" width="22.6283185840708" style="86" customWidth="1"/>
    <col min="8" max="8" width="3.23893805309735" style="86" customWidth="1"/>
    <col min="9" max="9" width="31.0265486725664" style="86" customWidth="1"/>
    <col min="10" max="10" width="34.1504424778761" style="86" customWidth="1"/>
    <col min="11" max="11" width="19.353982300885" style="86" customWidth="1"/>
    <col min="12" max="16384" width="9" style="86"/>
  </cols>
  <sheetData>
    <row r="1" ht="57" customHeight="1" spans="1:10">
      <c r="A1" s="87" t="s">
        <v>0</v>
      </c>
      <c r="B1" s="87"/>
      <c r="C1" s="87"/>
      <c r="D1" s="87"/>
      <c r="E1" s="87"/>
      <c r="F1" s="87"/>
      <c r="G1" s="87"/>
    </row>
    <row r="2" s="85" customFormat="1" customHeight="1" spans="1:10">
      <c r="A2" s="88" t="s">
        <v>1</v>
      </c>
      <c r="B2" s="89" t="s">
        <v>2</v>
      </c>
      <c r="C2" s="89"/>
      <c r="D2" s="89"/>
      <c r="E2" s="90" t="s">
        <v>3</v>
      </c>
      <c r="F2" s="91"/>
      <c r="G2" s="88" t="s">
        <v>4</v>
      </c>
      <c r="I2" s="92" t="s">
        <v>5</v>
      </c>
      <c r="J2" s="92" t="s">
        <v>6</v>
      </c>
    </row>
    <row r="3" s="85" customFormat="1" ht="45.75" customHeight="1" spans="1:10">
      <c r="A3" s="93"/>
      <c r="B3" s="89" t="s">
        <v>7</v>
      </c>
      <c r="C3" s="89" t="s">
        <v>8</v>
      </c>
      <c r="D3" s="94" t="s">
        <v>9</v>
      </c>
      <c r="E3" s="89" t="s">
        <v>10</v>
      </c>
      <c r="F3" s="89" t="s">
        <v>11</v>
      </c>
      <c r="G3" s="93"/>
      <c r="I3" s="92" t="s">
        <v>12</v>
      </c>
      <c r="J3" s="92" t="s">
        <v>13</v>
      </c>
    </row>
    <row r="4" ht="30" customHeight="1" spans="1:10">
      <c r="A4" s="68" t="s">
        <v>14</v>
      </c>
      <c r="B4" s="95">
        <f>费用构成!F3</f>
        <v>70661.35</v>
      </c>
      <c r="C4" s="95">
        <v>0</v>
      </c>
      <c r="D4" s="74">
        <v>0</v>
      </c>
      <c r="E4" s="77">
        <f>费用构成!E11</f>
        <v>300600</v>
      </c>
      <c r="F4" s="77">
        <v>0</v>
      </c>
      <c r="G4" s="96">
        <f t="shared" ref="G4:G8" si="0">B4+C4+D4-E4-F4</f>
        <v>-229938.65</v>
      </c>
      <c r="I4" s="92" t="s">
        <v>15</v>
      </c>
      <c r="J4" s="92">
        <v>484.01</v>
      </c>
    </row>
    <row r="5" ht="30" customHeight="1" spans="1:10">
      <c r="A5" s="68" t="s">
        <v>16</v>
      </c>
      <c r="B5" s="95">
        <f>费用构成!F4</f>
        <v>116387.82</v>
      </c>
      <c r="C5" s="95">
        <v>0</v>
      </c>
      <c r="D5" s="74">
        <v>0</v>
      </c>
      <c r="E5" s="77">
        <f>费用构成!E12</f>
        <v>210800</v>
      </c>
      <c r="F5" s="77">
        <f>费用构成!F19</f>
        <v>472750</v>
      </c>
      <c r="G5" s="96">
        <f t="shared" si="0"/>
        <v>-567162.18</v>
      </c>
      <c r="I5" s="97"/>
      <c r="J5" s="97"/>
    </row>
    <row r="6" ht="30" customHeight="1" spans="1:10">
      <c r="A6" s="68" t="s">
        <v>17</v>
      </c>
      <c r="B6" s="95">
        <f>费用构成!F5</f>
        <v>185192.38</v>
      </c>
      <c r="C6" s="95">
        <v>0</v>
      </c>
      <c r="D6" s="74">
        <v>0</v>
      </c>
      <c r="E6" s="77">
        <v>0</v>
      </c>
      <c r="F6" s="77">
        <f>费用构成!F20</f>
        <v>778540</v>
      </c>
      <c r="G6" s="96">
        <f t="shared" si="0"/>
        <v>-593347.62</v>
      </c>
      <c r="I6" s="98"/>
      <c r="J6" s="98"/>
    </row>
    <row r="7" ht="30" customHeight="1" spans="1:10">
      <c r="A7" s="68" t="s">
        <v>18</v>
      </c>
      <c r="B7" s="95">
        <f>209*明细!B3+134*明细!C3</f>
        <v>139708.6</v>
      </c>
      <c r="C7" s="95">
        <v>0</v>
      </c>
      <c r="D7" s="99">
        <f>416*明细!B3+50*明细!C3</f>
        <v>173186.74</v>
      </c>
      <c r="E7" s="77">
        <f>费用构成!E13</f>
        <v>651340</v>
      </c>
      <c r="F7" s="77">
        <f>费用构成!F21</f>
        <v>355130</v>
      </c>
      <c r="G7" s="96">
        <f t="shared" si="0"/>
        <v>-693574.66</v>
      </c>
      <c r="I7" s="98"/>
      <c r="J7" s="98"/>
    </row>
    <row r="8" ht="30" customHeight="1" spans="1:10">
      <c r="A8" s="68" t="s">
        <v>19</v>
      </c>
      <c r="B8" s="95">
        <f>702*明细!B3+341*明细!C3</f>
        <v>416461.69</v>
      </c>
      <c r="C8" s="95">
        <f>420*明细!B3+174*明细!C3</f>
        <v>234636.54</v>
      </c>
      <c r="D8" s="95">
        <f>45*明细!B3+43*明细!C3</f>
        <v>36928.73</v>
      </c>
      <c r="E8" s="77">
        <f>费用构成!E14</f>
        <v>783680</v>
      </c>
      <c r="F8" s="77">
        <f>费用构成!F22</f>
        <v>250250</v>
      </c>
      <c r="G8" s="96">
        <f t="shared" si="0"/>
        <v>-345903.04</v>
      </c>
      <c r="I8" s="98"/>
      <c r="J8" s="98"/>
    </row>
    <row r="9" ht="30" customHeight="1" spans="1:10">
      <c r="A9" s="68" t="s">
        <v>20</v>
      </c>
      <c r="B9" s="95">
        <f>SUM(B4:B8)</f>
        <v>928411.84</v>
      </c>
      <c r="C9" s="95">
        <f t="shared" ref="C9:G9" si="1">SUM(C4:C8)</f>
        <v>234636.54</v>
      </c>
      <c r="D9" s="95">
        <f t="shared" si="1"/>
        <v>210115.47</v>
      </c>
      <c r="E9" s="77">
        <f t="shared" si="1"/>
        <v>1946420</v>
      </c>
      <c r="F9" s="77">
        <f t="shared" si="1"/>
        <v>1856670</v>
      </c>
      <c r="G9" s="96">
        <f t="shared" si="1"/>
        <v>-2429926.15</v>
      </c>
      <c r="I9" s="98"/>
      <c r="J9" s="98"/>
    </row>
    <row r="10" ht="30" customHeight="1" spans="1:10">
      <c r="A10" s="68" t="s">
        <v>20</v>
      </c>
      <c r="B10" s="100">
        <v>1373163.85</v>
      </c>
      <c r="C10" s="100"/>
      <c r="D10" s="100"/>
      <c r="E10" s="72">
        <v>3803090</v>
      </c>
      <c r="F10" s="72"/>
      <c r="G10" s="96">
        <v>-2429926.15</v>
      </c>
      <c r="I10" s="98"/>
      <c r="J10" s="98"/>
    </row>
    <row r="11" customHeight="1" spans="1:10">
      <c r="A11" s="101"/>
      <c r="B11" s="101"/>
      <c r="C11" s="101"/>
      <c r="D11" s="101"/>
      <c r="E11" s="101"/>
      <c r="F11" s="101"/>
      <c r="G11" s="101"/>
      <c r="I11" s="98"/>
      <c r="J11" s="98"/>
    </row>
    <row r="12" customHeight="1" spans="1:10">
      <c r="A12" s="89" t="s">
        <v>1</v>
      </c>
      <c r="B12" s="89" t="s">
        <v>21</v>
      </c>
      <c r="C12" s="89"/>
      <c r="D12" s="89"/>
      <c r="E12" s="89" t="s">
        <v>3</v>
      </c>
      <c r="F12" s="89"/>
      <c r="G12" s="89" t="s">
        <v>4</v>
      </c>
      <c r="I12" s="92" t="s">
        <v>5</v>
      </c>
      <c r="J12" s="92" t="s">
        <v>6</v>
      </c>
    </row>
    <row r="13" s="85" customFormat="1" ht="45.75" customHeight="1" spans="1:10">
      <c r="A13" s="89"/>
      <c r="B13" s="89" t="s">
        <v>7</v>
      </c>
      <c r="C13" s="89" t="s">
        <v>8</v>
      </c>
      <c r="D13" s="94" t="s">
        <v>9</v>
      </c>
      <c r="E13" s="89" t="s">
        <v>10</v>
      </c>
      <c r="F13" s="89" t="s">
        <v>11</v>
      </c>
      <c r="G13" s="89"/>
      <c r="I13" s="92" t="s">
        <v>22</v>
      </c>
      <c r="J13" s="92" t="s">
        <v>23</v>
      </c>
    </row>
    <row r="14" s="85" customFormat="1" ht="30" customHeight="1" spans="1:10">
      <c r="A14" s="68" t="s">
        <v>14</v>
      </c>
      <c r="B14" s="95">
        <f>费用构成!D3</f>
        <v>106985.9</v>
      </c>
      <c r="C14" s="95">
        <v>0</v>
      </c>
      <c r="D14" s="74">
        <v>0</v>
      </c>
      <c r="E14" s="77">
        <f>费用构成!E11</f>
        <v>300600</v>
      </c>
      <c r="F14" s="77">
        <v>0</v>
      </c>
      <c r="G14" s="96">
        <f t="shared" ref="G14:G18" si="2">B14+C14+D14-E14-F14</f>
        <v>-193614.1</v>
      </c>
      <c r="I14" s="102"/>
      <c r="J14" s="102"/>
    </row>
    <row r="15" ht="30" customHeight="1" spans="1:10">
      <c r="A15" s="68" t="s">
        <v>16</v>
      </c>
      <c r="B15" s="95">
        <f>费用构成!D4</f>
        <v>176233.32</v>
      </c>
      <c r="C15" s="95">
        <v>0</v>
      </c>
      <c r="D15" s="74">
        <v>0</v>
      </c>
      <c r="E15" s="77">
        <f>费用构成!E12</f>
        <v>210800</v>
      </c>
      <c r="F15" s="77">
        <f>费用构成!F19</f>
        <v>472750</v>
      </c>
      <c r="G15" s="96">
        <f t="shared" si="2"/>
        <v>-507316.68</v>
      </c>
      <c r="I15" s="98"/>
      <c r="J15" s="98"/>
    </row>
    <row r="16" ht="30" customHeight="1" spans="1:10">
      <c r="A16" s="68" t="s">
        <v>17</v>
      </c>
      <c r="B16" s="95">
        <f>费用构成!D5</f>
        <v>280224.74</v>
      </c>
      <c r="C16" s="95">
        <v>0</v>
      </c>
      <c r="D16" s="74">
        <v>0</v>
      </c>
      <c r="E16" s="77">
        <v>0</v>
      </c>
      <c r="F16" s="77">
        <f>费用构成!F20</f>
        <v>778540</v>
      </c>
      <c r="G16" s="96">
        <f t="shared" si="2"/>
        <v>-498315.26</v>
      </c>
      <c r="I16" s="98"/>
      <c r="J16" s="98"/>
    </row>
    <row r="17" ht="30" customHeight="1" spans="1:10">
      <c r="A17" s="68" t="s">
        <v>18</v>
      </c>
      <c r="B17" s="95">
        <f>209*市公司结算!$E$6*0.5+134*市公司结算!$E$14*0.5</f>
        <v>211269.455</v>
      </c>
      <c r="C17" s="95">
        <v>0</v>
      </c>
      <c r="D17" s="99">
        <f>416*明细!B3+50*明细!C3</f>
        <v>173186.74</v>
      </c>
      <c r="E17" s="77">
        <f>费用构成!E13</f>
        <v>651340</v>
      </c>
      <c r="F17" s="77">
        <f>费用构成!F21</f>
        <v>355130</v>
      </c>
      <c r="G17" s="96">
        <f t="shared" si="2"/>
        <v>-622013.805</v>
      </c>
      <c r="I17" s="98"/>
      <c r="J17" s="98"/>
    </row>
    <row r="18" ht="30" customHeight="1" spans="1:10">
      <c r="A18" s="68" t="s">
        <v>19</v>
      </c>
      <c r="B18" s="95">
        <f>702*市公司结算!$E$6*0.5+341*市公司结算!$E$14*0.5</f>
        <v>630012.8</v>
      </c>
      <c r="C18" s="95">
        <f>420*市公司结算!$E$6*0.5+174*市公司结算!$E$14*0.5</f>
        <v>355024.56</v>
      </c>
      <c r="D18" s="95">
        <f>45*市公司结算!$E$6*0.5+43*市公司结算!$E$14*0.5</f>
        <v>55813.945</v>
      </c>
      <c r="E18" s="77">
        <f>费用构成!E14</f>
        <v>783680</v>
      </c>
      <c r="F18" s="77">
        <f>费用构成!F22</f>
        <v>250250</v>
      </c>
      <c r="G18" s="96">
        <f t="shared" si="2"/>
        <v>6921.30500000005</v>
      </c>
      <c r="I18" s="103"/>
      <c r="J18" s="98"/>
    </row>
    <row r="19" ht="30" customHeight="1" spans="1:10">
      <c r="A19" s="68" t="s">
        <v>20</v>
      </c>
      <c r="B19" s="95">
        <f>SUM(B14:B18)</f>
        <v>1404726.215</v>
      </c>
      <c r="C19" s="95">
        <f t="shared" ref="C19:G19" si="3">SUM(C14:C18)</f>
        <v>355024.56</v>
      </c>
      <c r="D19" s="95">
        <f t="shared" si="3"/>
        <v>229000.685</v>
      </c>
      <c r="E19" s="77">
        <f t="shared" si="3"/>
        <v>1946420</v>
      </c>
      <c r="F19" s="77">
        <f t="shared" si="3"/>
        <v>1856670</v>
      </c>
      <c r="G19" s="96">
        <f t="shared" si="3"/>
        <v>-1814338.54</v>
      </c>
      <c r="I19" s="98"/>
      <c r="J19" s="98"/>
    </row>
    <row r="20" ht="30" customHeight="1" spans="1:10">
      <c r="A20" s="68" t="s">
        <v>20</v>
      </c>
      <c r="B20" s="68">
        <v>1988751</v>
      </c>
      <c r="C20" s="68"/>
      <c r="D20" s="68"/>
      <c r="E20" s="68">
        <v>3803090</v>
      </c>
      <c r="F20" s="68"/>
      <c r="G20" s="81">
        <v>-1814338.54</v>
      </c>
      <c r="I20" s="98"/>
      <c r="J20" s="98"/>
    </row>
    <row r="21" spans="1:10">
      <c r="A21" s="104"/>
      <c r="B21" s="104"/>
      <c r="C21" s="104"/>
      <c r="D21" s="104"/>
      <c r="E21" s="104"/>
      <c r="F21" s="104"/>
      <c r="G21" s="104"/>
      <c r="I21" s="102"/>
      <c r="J21" s="102"/>
    </row>
    <row r="22" spans="1:10">
      <c r="A22" s="88" t="s">
        <v>1</v>
      </c>
      <c r="B22" s="89" t="s">
        <v>24</v>
      </c>
      <c r="C22" s="89"/>
      <c r="D22" s="89"/>
      <c r="E22" s="90" t="s">
        <v>3</v>
      </c>
      <c r="F22" s="91"/>
      <c r="G22" s="88" t="s">
        <v>4</v>
      </c>
      <c r="I22" s="92" t="s">
        <v>5</v>
      </c>
      <c r="J22" s="92" t="s">
        <v>6</v>
      </c>
    </row>
    <row r="23" ht="45.75" customHeight="1" spans="1:10">
      <c r="A23" s="93"/>
      <c r="B23" s="89" t="s">
        <v>7</v>
      </c>
      <c r="C23" s="89" t="s">
        <v>8</v>
      </c>
      <c r="D23" s="94" t="s">
        <v>9</v>
      </c>
      <c r="E23" s="89" t="s">
        <v>10</v>
      </c>
      <c r="F23" s="89" t="s">
        <v>11</v>
      </c>
      <c r="G23" s="93"/>
      <c r="I23" s="92" t="s">
        <v>25</v>
      </c>
      <c r="J23" s="92" t="s">
        <v>26</v>
      </c>
    </row>
    <row r="24" ht="30" customHeight="1" spans="1:10">
      <c r="A24" s="68" t="s">
        <v>14</v>
      </c>
      <c r="B24" s="95">
        <f>费用构成!E3</f>
        <v>149780.26</v>
      </c>
      <c r="C24" s="95">
        <v>0</v>
      </c>
      <c r="D24" s="74">
        <v>0</v>
      </c>
      <c r="E24" s="77">
        <f>费用构成!E11</f>
        <v>300600</v>
      </c>
      <c r="F24" s="77">
        <v>0</v>
      </c>
      <c r="G24" s="96">
        <f t="shared" ref="G24:G28" si="4">B24+C24+D24-E24-F24</f>
        <v>-150819.74</v>
      </c>
      <c r="I24" s="98"/>
      <c r="J24" s="98"/>
    </row>
    <row r="25" ht="30" customHeight="1" spans="1:10">
      <c r="A25" s="68" t="s">
        <v>16</v>
      </c>
      <c r="B25" s="95">
        <f>费用构成!E4</f>
        <v>246726.648</v>
      </c>
      <c r="C25" s="95">
        <v>0</v>
      </c>
      <c r="D25" s="74">
        <v>0</v>
      </c>
      <c r="E25" s="77">
        <f>费用构成!E12</f>
        <v>210800</v>
      </c>
      <c r="F25" s="77">
        <f>费用构成!F19</f>
        <v>472750</v>
      </c>
      <c r="G25" s="96">
        <f t="shared" si="4"/>
        <v>-436823.352</v>
      </c>
      <c r="I25" s="98"/>
      <c r="J25" s="98"/>
    </row>
    <row r="26" ht="30" customHeight="1" spans="1:10">
      <c r="A26" s="68" t="s">
        <v>17</v>
      </c>
      <c r="B26" s="95">
        <f>费用构成!E5</f>
        <v>392314.636</v>
      </c>
      <c r="C26" s="95">
        <v>0</v>
      </c>
      <c r="D26" s="74">
        <v>0</v>
      </c>
      <c r="E26" s="77">
        <v>0</v>
      </c>
      <c r="F26" s="77">
        <f>费用构成!F20</f>
        <v>778540</v>
      </c>
      <c r="G26" s="96">
        <f t="shared" si="4"/>
        <v>-386225.364</v>
      </c>
      <c r="I26" s="98"/>
      <c r="J26" s="98"/>
    </row>
    <row r="27" ht="30" customHeight="1" spans="1:10">
      <c r="A27" s="68" t="s">
        <v>18</v>
      </c>
      <c r="B27" s="95">
        <f>209*市公司结算!$E$6*0.7+134*市公司结算!$E$14*0.7</f>
        <v>295777.237</v>
      </c>
      <c r="C27" s="95">
        <v>0</v>
      </c>
      <c r="D27" s="99">
        <f>416*明细!B3+50*明细!C3</f>
        <v>173186.74</v>
      </c>
      <c r="E27" s="77">
        <f>费用构成!E13</f>
        <v>651340</v>
      </c>
      <c r="F27" s="77">
        <f>费用构成!F21</f>
        <v>355130</v>
      </c>
      <c r="G27" s="96">
        <f t="shared" si="4"/>
        <v>-537506.023</v>
      </c>
      <c r="I27" s="98"/>
      <c r="J27" s="98"/>
    </row>
    <row r="28" ht="30" customHeight="1" spans="1:10">
      <c r="A28" s="68" t="s">
        <v>19</v>
      </c>
      <c r="B28" s="95">
        <f>702*市公司结算!$E$6*0.7+341*市公司结算!$E$14*0.7</f>
        <v>882017.92</v>
      </c>
      <c r="C28" s="95">
        <f>420*市公司结算!$E$6*0.7+174*市公司结算!$E$14*0.7</f>
        <v>497034.384</v>
      </c>
      <c r="D28" s="95">
        <f>45*市公司结算!$E$6*0.7+43*市公司结算!$E$14*0.7</f>
        <v>78139.523</v>
      </c>
      <c r="E28" s="77">
        <f>费用构成!E14</f>
        <v>783680</v>
      </c>
      <c r="F28" s="77">
        <f>费用构成!F22</f>
        <v>250250</v>
      </c>
      <c r="G28" s="96">
        <f t="shared" si="4"/>
        <v>423261.827</v>
      </c>
      <c r="I28" s="98"/>
      <c r="J28" s="98"/>
    </row>
    <row r="29" ht="30" customHeight="1" spans="1:10">
      <c r="A29" s="68" t="s">
        <v>20</v>
      </c>
      <c r="B29" s="95">
        <f>SUM(B24:B28)</f>
        <v>1966616.701</v>
      </c>
      <c r="C29" s="95">
        <f t="shared" ref="C29" si="5">SUM(C24:C28)</f>
        <v>497034.384</v>
      </c>
      <c r="D29" s="95">
        <f t="shared" ref="D29:G29" si="6">SUM(D24:D28)</f>
        <v>251326.263</v>
      </c>
      <c r="E29" s="77">
        <f t="shared" si="6"/>
        <v>1946420</v>
      </c>
      <c r="F29" s="77">
        <f t="shared" si="6"/>
        <v>1856670</v>
      </c>
      <c r="G29" s="96">
        <f t="shared" si="6"/>
        <v>-1088112.652</v>
      </c>
      <c r="I29" s="98"/>
      <c r="J29" s="98"/>
    </row>
    <row r="30" ht="30" customHeight="1" spans="1:10">
      <c r="A30" s="68" t="s">
        <v>20</v>
      </c>
      <c r="B30" s="68">
        <v>2714977</v>
      </c>
      <c r="C30" s="68"/>
      <c r="D30" s="68"/>
      <c r="E30" s="68">
        <v>3803090</v>
      </c>
      <c r="F30" s="68"/>
      <c r="G30" s="81">
        <v>-1088112.65</v>
      </c>
      <c r="I30" s="98"/>
      <c r="J30" s="98"/>
    </row>
    <row r="31" ht="45" customHeight="1" spans="1:10">
      <c r="A31" s="83"/>
      <c r="B31" s="84"/>
      <c r="C31" s="84"/>
      <c r="D31" s="84"/>
      <c r="E31" s="84"/>
      <c r="F31" s="84"/>
      <c r="G31" s="84"/>
    </row>
    <row r="32" ht="45" customHeight="1" spans="1:10">
      <c r="A32" s="83"/>
      <c r="B32" s="84"/>
      <c r="C32" s="84"/>
      <c r="D32" s="84"/>
      <c r="E32" s="84"/>
      <c r="F32" s="84"/>
      <c r="G32" s="84"/>
    </row>
    <row r="33" ht="55" customHeight="1" spans="1:10">
      <c r="A33" s="105" t="s">
        <v>1</v>
      </c>
      <c r="B33" s="106" t="s">
        <v>27</v>
      </c>
      <c r="C33" s="107"/>
      <c r="D33" s="108"/>
      <c r="E33" s="106" t="s">
        <v>3</v>
      </c>
      <c r="F33" s="108"/>
      <c r="G33" s="109" t="s">
        <v>4</v>
      </c>
      <c r="I33" s="94" t="s">
        <v>5</v>
      </c>
      <c r="J33" s="94" t="s">
        <v>6</v>
      </c>
    </row>
    <row r="34" ht="49" customHeight="1" spans="1:10">
      <c r="A34" s="105"/>
      <c r="B34" s="105" t="s">
        <v>7</v>
      </c>
      <c r="C34" s="105" t="s">
        <v>8</v>
      </c>
      <c r="D34" s="105" t="s">
        <v>9</v>
      </c>
      <c r="E34" s="105" t="s">
        <v>10</v>
      </c>
      <c r="F34" s="105" t="s">
        <v>11</v>
      </c>
      <c r="G34" s="110"/>
      <c r="I34" s="94">
        <v>1000</v>
      </c>
      <c r="J34" s="94">
        <v>1400</v>
      </c>
    </row>
    <row r="35" ht="41" customHeight="1" spans="1:10">
      <c r="A35" s="111" t="s">
        <v>14</v>
      </c>
      <c r="B35" s="111">
        <v>199000</v>
      </c>
      <c r="C35" s="111">
        <v>0</v>
      </c>
      <c r="D35" s="111">
        <v>0</v>
      </c>
      <c r="E35" s="111">
        <v>300600</v>
      </c>
      <c r="F35" s="111">
        <v>0</v>
      </c>
      <c r="G35" s="111">
        <v>-101600</v>
      </c>
    </row>
    <row r="36" ht="41" customHeight="1" spans="1:10">
      <c r="A36" s="111" t="s">
        <v>16</v>
      </c>
      <c r="B36" s="111">
        <v>327600</v>
      </c>
      <c r="C36" s="111">
        <v>0</v>
      </c>
      <c r="D36" s="111">
        <v>0</v>
      </c>
      <c r="E36" s="111">
        <v>210800</v>
      </c>
      <c r="F36" s="111">
        <v>472750</v>
      </c>
      <c r="G36" s="111">
        <v>-355950</v>
      </c>
    </row>
    <row r="37" ht="41" customHeight="1" spans="1:10">
      <c r="A37" s="112" t="s">
        <v>17</v>
      </c>
      <c r="B37" s="112">
        <v>523600</v>
      </c>
      <c r="C37" s="112">
        <v>0</v>
      </c>
      <c r="D37" s="112">
        <v>0</v>
      </c>
      <c r="E37" s="112">
        <v>0</v>
      </c>
      <c r="F37" s="112">
        <v>778540</v>
      </c>
      <c r="G37" s="112">
        <v>-254940</v>
      </c>
    </row>
    <row r="38" ht="41" customHeight="1" spans="1:10">
      <c r="A38" s="111" t="s">
        <v>18</v>
      </c>
      <c r="B38" s="111">
        <v>396600</v>
      </c>
      <c r="C38" s="111">
        <v>0</v>
      </c>
      <c r="D38" s="113">
        <v>173186.74</v>
      </c>
      <c r="E38" s="111">
        <v>651340</v>
      </c>
      <c r="F38" s="111">
        <v>355130</v>
      </c>
      <c r="G38" s="111">
        <v>-436683.26</v>
      </c>
    </row>
    <row r="39" ht="41" customHeight="1" spans="1:10">
      <c r="A39" s="111" t="s">
        <v>19</v>
      </c>
      <c r="B39" s="111">
        <v>1179400</v>
      </c>
      <c r="C39" s="111">
        <v>663600</v>
      </c>
      <c r="D39" s="111">
        <v>105200</v>
      </c>
      <c r="E39" s="111">
        <v>783680</v>
      </c>
      <c r="F39" s="111">
        <v>250250</v>
      </c>
      <c r="G39" s="111">
        <v>914270</v>
      </c>
    </row>
    <row r="40" ht="41" customHeight="1" spans="1:10">
      <c r="A40" s="111" t="s">
        <v>20</v>
      </c>
      <c r="B40" s="111">
        <v>2626200</v>
      </c>
      <c r="C40" s="111">
        <v>663600</v>
      </c>
      <c r="D40" s="111">
        <v>278386.74</v>
      </c>
      <c r="E40" s="111">
        <v>1946420</v>
      </c>
      <c r="F40" s="111">
        <v>1856670</v>
      </c>
      <c r="G40" s="111">
        <v>-234903.26</v>
      </c>
    </row>
    <row r="41" ht="41" customHeight="1" spans="1:10">
      <c r="A41" s="111" t="s">
        <v>20</v>
      </c>
      <c r="B41" s="114">
        <v>3568186.74</v>
      </c>
      <c r="C41" s="115"/>
      <c r="D41" s="116"/>
      <c r="E41" s="114">
        <v>3803090</v>
      </c>
      <c r="F41" s="116"/>
      <c r="G41" s="111">
        <v>-234903.26</v>
      </c>
    </row>
    <row r="45" ht="72" customHeight="1" spans="1:10">
      <c r="A45" s="117" t="s">
        <v>28</v>
      </c>
      <c r="B45" s="117"/>
      <c r="C45" s="117"/>
      <c r="D45" s="117"/>
      <c r="E45" s="117"/>
      <c r="F45" s="117"/>
    </row>
  </sheetData>
  <mergeCells count="26">
    <mergeCell ref="A1:G1"/>
    <mergeCell ref="B2:D2"/>
    <mergeCell ref="E2:F2"/>
    <mergeCell ref="B10:D10"/>
    <mergeCell ref="E10:F10"/>
    <mergeCell ref="B12:D12"/>
    <mergeCell ref="E12:F12"/>
    <mergeCell ref="B20:D20"/>
    <mergeCell ref="E20:F20"/>
    <mergeCell ref="B22:D22"/>
    <mergeCell ref="E22:F22"/>
    <mergeCell ref="B30:D30"/>
    <mergeCell ref="E30:F30"/>
    <mergeCell ref="A32:G32"/>
    <mergeCell ref="B33:D33"/>
    <mergeCell ref="E33:F33"/>
    <mergeCell ref="B41:D41"/>
    <mergeCell ref="E41:F41"/>
    <mergeCell ref="A45:F45"/>
    <mergeCell ref="A2:A3"/>
    <mergeCell ref="A12:A13"/>
    <mergeCell ref="A22:A23"/>
    <mergeCell ref="G2:G3"/>
    <mergeCell ref="G12:G13"/>
    <mergeCell ref="G22:G23"/>
    <mergeCell ref="G33:G34"/>
  </mergeCells>
  <printOptions horizontalCentered="1"/>
  <pageMargins left="0.748031496062992" right="0.748031496062992" top="0.984251968503937" bottom="0.984251968503937" header="0.511811023622047" footer="0.511811023622047"/>
  <pageSetup paperSize="9" scale="45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5"/>
  <sheetViews>
    <sheetView zoomScale="85" zoomScaleNormal="85" workbookViewId="0">
      <selection activeCell="G1" sqref="G1:G2"/>
    </sheetView>
  </sheetViews>
  <sheetFormatPr defaultColWidth="10.1238938053097" defaultRowHeight="20.25" outlineLevelCol="7"/>
  <cols>
    <col min="1" max="2" width="20.6283185840708" style="66" customWidth="1"/>
    <col min="3" max="3" width="21.6283185840708" style="66" customWidth="1"/>
    <col min="4" max="6" width="21.6283185840708" style="67" customWidth="1"/>
    <col min="7" max="7" width="36.3893805309735" customWidth="1"/>
    <col min="8" max="8" width="54.1238938053097" customWidth="1"/>
    <col min="9" max="9" width="12.6283185840708" customWidth="1"/>
    <col min="10" max="10" width="16.5044247787611" customWidth="1"/>
    <col min="13" max="13" width="17.6283185840708" customWidth="1"/>
  </cols>
  <sheetData>
    <row r="1" ht="40.5" customHeight="1" spans="1:8">
      <c r="A1" s="68" t="s">
        <v>29</v>
      </c>
      <c r="B1" s="68" t="s">
        <v>30</v>
      </c>
      <c r="C1" s="68"/>
      <c r="D1" s="69" t="s">
        <v>31</v>
      </c>
      <c r="E1" s="69" t="s">
        <v>32</v>
      </c>
      <c r="F1" s="70" t="s">
        <v>33</v>
      </c>
      <c r="G1" s="71" t="s">
        <v>34</v>
      </c>
      <c r="H1" s="72" t="s">
        <v>35</v>
      </c>
    </row>
    <row r="2" spans="1:8">
      <c r="A2" s="68"/>
      <c r="B2" s="68" t="s">
        <v>36</v>
      </c>
      <c r="C2" s="68" t="s">
        <v>37</v>
      </c>
      <c r="D2" s="69"/>
      <c r="E2" s="69"/>
      <c r="F2" s="70"/>
      <c r="G2" s="73"/>
      <c r="H2" s="72"/>
    </row>
    <row r="3" spans="1:8">
      <c r="A3" s="68" t="s">
        <v>14</v>
      </c>
      <c r="B3" s="68">
        <f>明细!B16</f>
        <v>150</v>
      </c>
      <c r="C3" s="68">
        <f>明细!D16</f>
        <v>35</v>
      </c>
      <c r="D3" s="74">
        <f>B3*市公司结算!$E$6*0.5+C3*市公司结算!$E$14*0.5</f>
        <v>106985.9</v>
      </c>
      <c r="E3" s="74">
        <f>B3*市公司结算!$E$6*0.7+C3*市公司结算!$E$14*0.7</f>
        <v>149780.26</v>
      </c>
      <c r="F3" s="74">
        <f>明细!F16</f>
        <v>70661.35</v>
      </c>
      <c r="G3" s="75">
        <f>B3*1000+C3*1400</f>
        <v>199000</v>
      </c>
      <c r="H3" s="75"/>
    </row>
    <row r="4" spans="1:8">
      <c r="A4" s="68" t="s">
        <v>16</v>
      </c>
      <c r="B4" s="68">
        <f>明细!B29</f>
        <v>252</v>
      </c>
      <c r="C4" s="68">
        <f>明细!D29</f>
        <v>54</v>
      </c>
      <c r="D4" s="74">
        <f>B4*市公司结算!$E$6*0.5+C4*市公司结算!$E$14*0.5</f>
        <v>176233.32</v>
      </c>
      <c r="E4" s="74">
        <f>B4*市公司结算!$E$6*0.7+C4*市公司结算!$E$14*0.7</f>
        <v>246726.648</v>
      </c>
      <c r="F4" s="74">
        <f>明细!F29</f>
        <v>116387.82</v>
      </c>
      <c r="G4" s="75">
        <f>B4*1000+C4*1400</f>
        <v>327600</v>
      </c>
      <c r="H4" s="75"/>
    </row>
    <row r="5" spans="1:8">
      <c r="A5" s="68" t="s">
        <v>17</v>
      </c>
      <c r="B5" s="68">
        <f>明细!B42</f>
        <v>336</v>
      </c>
      <c r="C5" s="68">
        <f>明细!D42</f>
        <v>134</v>
      </c>
      <c r="D5" s="74">
        <f>B5*市公司结算!$E$6*0.5+C5*市公司结算!$E$14*0.5</f>
        <v>280224.74</v>
      </c>
      <c r="E5" s="74">
        <f>B5*市公司结算!$E$6*0.7+C5*市公司结算!$E$14*0.7</f>
        <v>392314.636</v>
      </c>
      <c r="F5" s="74">
        <f>明细!F42</f>
        <v>185192.38</v>
      </c>
      <c r="G5" s="75">
        <f>B5*1000+C5*1400</f>
        <v>523600</v>
      </c>
      <c r="H5" s="75"/>
    </row>
    <row r="6" ht="66.75" customHeight="1" spans="1:8">
      <c r="A6" s="68" t="s">
        <v>18</v>
      </c>
      <c r="B6" s="68">
        <f>明细!B55</f>
        <v>625</v>
      </c>
      <c r="C6" s="68">
        <f>明细!D55</f>
        <v>184</v>
      </c>
      <c r="D6" s="74">
        <f>B6*市公司结算!$E$6*0.5+C6*市公司结算!$E$14*0.5</f>
        <v>473628.235</v>
      </c>
      <c r="E6" s="74">
        <f>B6*市公司结算!$E$6*0.7+C6*市公司结算!$E$14*0.7</f>
        <v>663079.529</v>
      </c>
      <c r="F6" s="74">
        <f>明细!F55</f>
        <v>312895.34</v>
      </c>
      <c r="G6" s="75">
        <f>B6*1000+C6*1400</f>
        <v>882600</v>
      </c>
      <c r="H6" s="76" t="s">
        <v>38</v>
      </c>
    </row>
    <row r="7" spans="1:8">
      <c r="A7" s="68" t="s">
        <v>19</v>
      </c>
      <c r="B7" s="68">
        <f>明细!B68</f>
        <v>1167</v>
      </c>
      <c r="C7" s="68">
        <f>明细!D68</f>
        <v>558</v>
      </c>
      <c r="D7" s="74">
        <f>B7*市公司结算!$E$6*0.5+C7*市公司结算!$E$14*0.5</f>
        <v>1040851.305</v>
      </c>
      <c r="E7" s="74">
        <f>B7*市公司结算!$E$6*0.7+C7*市公司结算!$E$14*0.7</f>
        <v>1457191.827</v>
      </c>
      <c r="F7" s="74">
        <f>明细!F68</f>
        <v>688026.96</v>
      </c>
      <c r="G7" s="75">
        <f>B7*1000+C7*1400</f>
        <v>1948200</v>
      </c>
      <c r="H7" s="75"/>
    </row>
    <row r="8" spans="1:8">
      <c r="A8" s="68" t="s">
        <v>20</v>
      </c>
      <c r="B8" s="68">
        <f>SUM(B3:B7)</f>
        <v>2530</v>
      </c>
      <c r="C8" s="68">
        <f>SUM(C3:C7)</f>
        <v>965</v>
      </c>
      <c r="D8" s="74">
        <f>SUM(D3:D7)</f>
        <v>2077923.5</v>
      </c>
      <c r="E8" s="74">
        <f>SUM(E3:E7)</f>
        <v>2909092.9</v>
      </c>
      <c r="F8" s="74">
        <f>SUM(F3:F7)</f>
        <v>1373163.85</v>
      </c>
      <c r="G8" s="75">
        <v>3881000</v>
      </c>
      <c r="H8" s="75"/>
    </row>
    <row r="9" spans="1:8">
      <c r="A9" s="68"/>
      <c r="B9" s="68"/>
      <c r="C9" s="68"/>
      <c r="D9" s="72"/>
      <c r="E9" s="72"/>
      <c r="F9" s="72"/>
      <c r="G9" s="39"/>
      <c r="H9" s="39"/>
    </row>
    <row r="10" spans="1:8">
      <c r="A10" s="68" t="s">
        <v>39</v>
      </c>
      <c r="B10" s="68" t="s">
        <v>40</v>
      </c>
      <c r="C10" s="68" t="s">
        <v>41</v>
      </c>
      <c r="D10" s="68" t="s">
        <v>42</v>
      </c>
      <c r="E10" s="68" t="s">
        <v>43</v>
      </c>
      <c r="F10" s="68"/>
      <c r="G10" s="39"/>
      <c r="H10" s="39"/>
    </row>
    <row r="11" spans="1:8">
      <c r="A11" s="68" t="s">
        <v>14</v>
      </c>
      <c r="B11" s="68">
        <v>3</v>
      </c>
      <c r="C11" s="77">
        <v>268800</v>
      </c>
      <c r="D11" s="77">
        <v>31800</v>
      </c>
      <c r="E11" s="77">
        <f>C11+D11</f>
        <v>300600</v>
      </c>
      <c r="F11" s="78"/>
      <c r="G11" s="39"/>
      <c r="H11" s="39"/>
    </row>
    <row r="12" spans="1:8">
      <c r="A12" s="68" t="s">
        <v>44</v>
      </c>
      <c r="B12" s="68">
        <v>3</v>
      </c>
      <c r="C12" s="77">
        <v>195200</v>
      </c>
      <c r="D12" s="77">
        <v>15600</v>
      </c>
      <c r="E12" s="77">
        <f>C12+D12</f>
        <v>210800</v>
      </c>
      <c r="F12" s="78"/>
      <c r="G12" s="39"/>
      <c r="H12" s="39"/>
    </row>
    <row r="13" spans="1:8">
      <c r="A13" s="68" t="s">
        <v>45</v>
      </c>
      <c r="B13" s="79" t="s">
        <v>46</v>
      </c>
      <c r="C13" s="77">
        <v>586240</v>
      </c>
      <c r="D13" s="77">
        <v>65100</v>
      </c>
      <c r="E13" s="77">
        <f>C13+D13</f>
        <v>651340</v>
      </c>
      <c r="F13" s="78"/>
      <c r="G13" s="39"/>
      <c r="H13" s="39"/>
    </row>
    <row r="14" spans="1:8">
      <c r="A14" s="68" t="s">
        <v>47</v>
      </c>
      <c r="B14" s="79" t="s">
        <v>48</v>
      </c>
      <c r="C14" s="77">
        <v>634880</v>
      </c>
      <c r="D14" s="77">
        <v>148800</v>
      </c>
      <c r="E14" s="77">
        <f>C14+D14</f>
        <v>783680</v>
      </c>
      <c r="F14" s="80"/>
      <c r="G14" s="39"/>
      <c r="H14" s="39"/>
    </row>
    <row r="15" spans="1:8">
      <c r="A15" s="68" t="s">
        <v>20</v>
      </c>
      <c r="B15" s="68"/>
      <c r="C15" s="77">
        <f>SUM(C11:C14)</f>
        <v>1685120</v>
      </c>
      <c r="D15" s="77">
        <f>SUM(D11:D14)</f>
        <v>261300</v>
      </c>
      <c r="E15" s="77">
        <f>SUM(E11:E14)</f>
        <v>1946420</v>
      </c>
      <c r="F15" s="39"/>
      <c r="G15" s="39"/>
      <c r="H15" s="39"/>
    </row>
    <row r="16" spans="1:8">
      <c r="A16" s="68"/>
      <c r="B16" s="68"/>
      <c r="C16" s="68"/>
      <c r="D16" s="72"/>
      <c r="E16" s="72"/>
      <c r="F16" s="72"/>
      <c r="G16" s="39"/>
      <c r="H16" s="39"/>
    </row>
    <row r="17" ht="30" customHeight="1" spans="1:8">
      <c r="A17" s="69" t="s">
        <v>49</v>
      </c>
      <c r="B17" s="68" t="s">
        <v>50</v>
      </c>
      <c r="C17" s="68"/>
      <c r="D17" s="68"/>
      <c r="E17" s="68"/>
      <c r="F17" s="68"/>
      <c r="G17" s="81"/>
      <c r="H17" s="81"/>
    </row>
    <row r="18" ht="30" customHeight="1" spans="1:8">
      <c r="A18" s="68"/>
      <c r="B18" s="68" t="s">
        <v>51</v>
      </c>
      <c r="C18" s="68" t="s">
        <v>52</v>
      </c>
      <c r="D18" s="72" t="s">
        <v>53</v>
      </c>
      <c r="E18" s="72" t="s">
        <v>42</v>
      </c>
      <c r="F18" s="72" t="s">
        <v>43</v>
      </c>
      <c r="G18" s="81"/>
      <c r="H18" s="81"/>
    </row>
    <row r="19" ht="30" customHeight="1" spans="1:8">
      <c r="A19" s="68" t="s">
        <v>54</v>
      </c>
      <c r="B19" s="68">
        <v>620</v>
      </c>
      <c r="C19" s="68">
        <v>747</v>
      </c>
      <c r="D19" s="77">
        <v>385150</v>
      </c>
      <c r="E19" s="77">
        <v>87600</v>
      </c>
      <c r="F19" s="77">
        <f>D19+E19</f>
        <v>472750</v>
      </c>
      <c r="G19" s="39"/>
      <c r="H19" s="39"/>
    </row>
    <row r="20" ht="30" customHeight="1" spans="1:8">
      <c r="A20" s="68" t="s">
        <v>17</v>
      </c>
      <c r="B20" s="68">
        <v>1037</v>
      </c>
      <c r="C20" s="68">
        <v>1286</v>
      </c>
      <c r="D20" s="77">
        <v>653340</v>
      </c>
      <c r="E20" s="77">
        <v>125200</v>
      </c>
      <c r="F20" s="77">
        <f t="shared" ref="F20:F22" si="0">D20+E20</f>
        <v>778540</v>
      </c>
      <c r="G20" s="39"/>
      <c r="H20" s="39"/>
    </row>
    <row r="21" ht="30" customHeight="1" spans="1:8">
      <c r="A21" s="68" t="s">
        <v>18</v>
      </c>
      <c r="B21" s="68">
        <v>414</v>
      </c>
      <c r="C21" s="68">
        <v>665</v>
      </c>
      <c r="D21" s="77">
        <v>298730</v>
      </c>
      <c r="E21" s="77">
        <v>56400</v>
      </c>
      <c r="F21" s="77">
        <f t="shared" si="0"/>
        <v>355130</v>
      </c>
      <c r="G21" s="76"/>
      <c r="H21" s="76"/>
    </row>
    <row r="22" ht="30" customHeight="1" spans="1:8">
      <c r="A22" s="68" t="s">
        <v>55</v>
      </c>
      <c r="B22" s="68">
        <v>325</v>
      </c>
      <c r="C22" s="68">
        <v>325</v>
      </c>
      <c r="D22" s="77">
        <v>185250</v>
      </c>
      <c r="E22" s="77">
        <v>65000</v>
      </c>
      <c r="F22" s="77">
        <f t="shared" si="0"/>
        <v>250250</v>
      </c>
      <c r="G22" s="76"/>
      <c r="H22" s="76"/>
    </row>
    <row r="23" ht="30" customHeight="1" spans="1:8">
      <c r="A23" s="68" t="s">
        <v>20</v>
      </c>
      <c r="B23" s="68">
        <f>SUM(B19:B22)</f>
        <v>2396</v>
      </c>
      <c r="C23" s="68">
        <f t="shared" ref="C23:F23" si="1">SUM(C19:C22)</f>
        <v>3023</v>
      </c>
      <c r="D23" s="77">
        <f t="shared" si="1"/>
        <v>1522470</v>
      </c>
      <c r="E23" s="77">
        <f t="shared" si="1"/>
        <v>334200</v>
      </c>
      <c r="F23" s="77">
        <f t="shared" si="1"/>
        <v>1856670</v>
      </c>
      <c r="G23" s="39"/>
      <c r="H23" s="39"/>
    </row>
    <row r="24" ht="30" customHeight="1" spans="1:8">
      <c r="D24" s="82"/>
      <c r="E24" s="82"/>
      <c r="F24" s="82"/>
    </row>
    <row r="25" ht="71.25" customHeight="1" spans="1:8">
      <c r="A25" s="83" t="s">
        <v>56</v>
      </c>
      <c r="B25" s="84"/>
      <c r="C25" s="84"/>
      <c r="D25" s="84"/>
      <c r="E25" s="84"/>
      <c r="F25" s="84"/>
      <c r="G25" s="84"/>
      <c r="H25" s="84"/>
    </row>
  </sheetData>
  <mergeCells count="11">
    <mergeCell ref="B1:C1"/>
    <mergeCell ref="A15:B15"/>
    <mergeCell ref="B17:F17"/>
    <mergeCell ref="A25:H25"/>
    <mergeCell ref="A1:A2"/>
    <mergeCell ref="A17:A18"/>
    <mergeCell ref="D1:D2"/>
    <mergeCell ref="E1:E2"/>
    <mergeCell ref="F1:F2"/>
    <mergeCell ref="G1:G2"/>
    <mergeCell ref="H1:H2"/>
  </mergeCells>
  <printOptions horizontalCentered="1"/>
  <pageMargins left="0.748031496062992" right="0.748031496062992" top="0.984251968503937" bottom="0.984251968503937" header="0.511811023622047" footer="0.511811023622047"/>
  <pageSetup paperSize="9" scale="65" fitToWidth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69"/>
  <sheetViews>
    <sheetView zoomScale="90" zoomScaleNormal="90" workbookViewId="0">
      <selection activeCell="F68" sqref="F68"/>
    </sheetView>
  </sheetViews>
  <sheetFormatPr defaultColWidth="10.1238938053097" defaultRowHeight="13.5"/>
  <cols>
    <col min="1" max="1" width="11.3716814159292" style="35" customWidth="1"/>
    <col min="2" max="3" width="13" customWidth="1"/>
    <col min="4" max="4" width="11" customWidth="1"/>
    <col min="5" max="5" width="13" customWidth="1"/>
    <col min="6" max="6" width="12.2477876106195" customWidth="1"/>
    <col min="7" max="9" width="9" customWidth="1"/>
    <col min="10" max="10" width="13" customWidth="1"/>
    <col min="11" max="16" width="9.6283185840708" customWidth="1"/>
    <col min="17" max="17" width="11.7522123893805" customWidth="1"/>
    <col min="18" max="18" width="10.1238938053097" style="35"/>
    <col min="19" max="21" width="12.8761061946903" customWidth="1"/>
    <col min="23" max="23" width="12.6283185840708" customWidth="1"/>
    <col min="24" max="24" width="16.5044247787611" customWidth="1"/>
    <col min="27" max="27" width="17.6283185840708" customWidth="1"/>
  </cols>
  <sheetData>
    <row r="1" spans="1:18">
      <c r="A1"/>
      <c r="B1" s="36" t="s">
        <v>57</v>
      </c>
      <c r="C1" s="36"/>
    </row>
    <row r="2" ht="27" spans="1:18">
      <c r="A2" s="37" t="s">
        <v>58</v>
      </c>
      <c r="B2" s="38" t="s">
        <v>59</v>
      </c>
      <c r="C2" s="38" t="s">
        <v>60</v>
      </c>
      <c r="F2" s="37" t="s">
        <v>61</v>
      </c>
      <c r="G2" s="38" t="s">
        <v>62</v>
      </c>
      <c r="H2" s="38" t="s">
        <v>63</v>
      </c>
      <c r="I2" s="37" t="s">
        <v>64</v>
      </c>
      <c r="J2" s="37" t="s">
        <v>65</v>
      </c>
    </row>
    <row r="3" spans="1:18">
      <c r="A3" s="39"/>
      <c r="B3" s="40">
        <v>358.14</v>
      </c>
      <c r="C3" s="40">
        <v>484.01</v>
      </c>
      <c r="F3" s="37" t="s">
        <v>66</v>
      </c>
      <c r="G3" s="40">
        <v>320</v>
      </c>
      <c r="H3" s="40">
        <v>250</v>
      </c>
      <c r="I3" s="40">
        <v>300</v>
      </c>
      <c r="J3" s="40">
        <v>200</v>
      </c>
    </row>
    <row r="4" spans="1:18">
      <c r="B4" s="35"/>
      <c r="C4" s="35"/>
      <c r="F4" s="35"/>
      <c r="G4" s="35"/>
      <c r="H4" s="35"/>
      <c r="I4" s="35"/>
      <c r="J4" s="35"/>
    </row>
    <row r="5" customHeight="1" spans="1:18">
      <c r="A5" s="37"/>
      <c r="B5" s="41" t="s">
        <v>67</v>
      </c>
      <c r="C5" s="42"/>
      <c r="D5" s="41" t="s">
        <v>68</v>
      </c>
      <c r="E5" s="42"/>
      <c r="F5" s="38" t="s">
        <v>69</v>
      </c>
      <c r="G5" s="41" t="s">
        <v>70</v>
      </c>
      <c r="H5" s="43"/>
      <c r="I5" s="43"/>
      <c r="J5" s="43"/>
      <c r="K5" s="43"/>
      <c r="L5" s="43"/>
      <c r="M5" s="43"/>
      <c r="N5" s="43"/>
      <c r="O5" s="43"/>
      <c r="P5" s="43"/>
      <c r="Q5" s="42"/>
      <c r="R5" s="44" t="s">
        <v>71</v>
      </c>
    </row>
    <row r="6" customHeight="1" spans="1:18">
      <c r="A6" s="37"/>
      <c r="B6" s="45" t="s">
        <v>72</v>
      </c>
      <c r="C6" s="46" t="s">
        <v>73</v>
      </c>
      <c r="D6" s="45" t="s">
        <v>72</v>
      </c>
      <c r="E6" s="46" t="s">
        <v>73</v>
      </c>
      <c r="F6" s="37"/>
      <c r="G6" s="47" t="s">
        <v>74</v>
      </c>
      <c r="H6" s="47"/>
      <c r="I6" s="47"/>
      <c r="J6" s="47"/>
      <c r="K6" s="47" t="s">
        <v>75</v>
      </c>
      <c r="L6" s="47"/>
      <c r="M6" s="47"/>
      <c r="N6" s="47"/>
      <c r="O6" s="47"/>
      <c r="P6" s="47"/>
      <c r="Q6" s="48" t="s">
        <v>76</v>
      </c>
      <c r="R6" s="44"/>
    </row>
    <row r="7" spans="1:18">
      <c r="A7" s="37"/>
      <c r="B7" s="49"/>
      <c r="C7" s="50"/>
      <c r="D7" s="49"/>
      <c r="E7" s="50"/>
      <c r="F7" s="37"/>
      <c r="G7" s="47" t="s">
        <v>77</v>
      </c>
      <c r="H7" s="47" t="s">
        <v>78</v>
      </c>
      <c r="I7" s="47" t="s">
        <v>53</v>
      </c>
      <c r="J7" s="47" t="s">
        <v>79</v>
      </c>
      <c r="K7" s="47" t="s">
        <v>77</v>
      </c>
      <c r="L7" s="47" t="s">
        <v>78</v>
      </c>
      <c r="M7" s="47" t="s">
        <v>80</v>
      </c>
      <c r="N7" s="47" t="s">
        <v>78</v>
      </c>
      <c r="O7" s="47" t="s">
        <v>53</v>
      </c>
      <c r="P7" s="47" t="s">
        <v>79</v>
      </c>
      <c r="Q7" s="51"/>
      <c r="R7" s="44"/>
    </row>
    <row r="8" spans="1:18">
      <c r="A8" s="52">
        <v>44317</v>
      </c>
      <c r="B8" s="40">
        <v>44</v>
      </c>
      <c r="C8" s="40">
        <v>44</v>
      </c>
      <c r="D8" s="40">
        <v>2</v>
      </c>
      <c r="E8" s="40">
        <v>2</v>
      </c>
      <c r="F8" s="53">
        <f>B8*B3+D8*C3</f>
        <v>16726.18</v>
      </c>
      <c r="G8" s="54">
        <f>3+2</f>
        <v>5</v>
      </c>
      <c r="H8" s="54">
        <f>G8*R8</f>
        <v>95</v>
      </c>
      <c r="I8" s="54">
        <f>H8*G3</f>
        <v>30400</v>
      </c>
      <c r="J8" s="54">
        <f>R8*I3</f>
        <v>5700</v>
      </c>
      <c r="K8" s="54"/>
      <c r="L8" s="54"/>
      <c r="M8" s="54"/>
      <c r="N8" s="54"/>
      <c r="O8" s="54"/>
      <c r="P8" s="54"/>
      <c r="Q8" s="54"/>
      <c r="R8" s="37">
        <v>19</v>
      </c>
    </row>
    <row r="9" spans="1:18">
      <c r="A9" s="52">
        <v>44348</v>
      </c>
      <c r="B9" s="40">
        <v>8</v>
      </c>
      <c r="C9" s="40">
        <v>8</v>
      </c>
      <c r="D9" s="40">
        <v>3</v>
      </c>
      <c r="E9" s="40"/>
      <c r="F9" s="53">
        <f>B9*B3+D9*C3</f>
        <v>4317.15</v>
      </c>
      <c r="G9" s="54">
        <f t="shared" ref="G9:G15" si="0">3+2</f>
        <v>5</v>
      </c>
      <c r="H9" s="54">
        <f t="shared" ref="H9:H15" si="1">G9*R9</f>
        <v>105</v>
      </c>
      <c r="I9" s="54">
        <f>H9*G3</f>
        <v>33600</v>
      </c>
      <c r="J9" s="54">
        <f>(R9-10)*I3</f>
        <v>3300</v>
      </c>
      <c r="K9" s="54"/>
      <c r="L9" s="54"/>
      <c r="M9" s="54"/>
      <c r="N9" s="54"/>
      <c r="O9" s="54"/>
      <c r="P9" s="54"/>
      <c r="Q9" s="54"/>
      <c r="R9" s="37">
        <v>21</v>
      </c>
    </row>
    <row r="10" spans="1:18">
      <c r="A10" s="52">
        <v>44378</v>
      </c>
      <c r="B10" s="40">
        <v>1</v>
      </c>
      <c r="C10" s="40">
        <v>1</v>
      </c>
      <c r="D10" s="40">
        <v>4</v>
      </c>
      <c r="E10" s="40">
        <v>7</v>
      </c>
      <c r="F10" s="53">
        <f>B10*B3+D10*C3</f>
        <v>2294.18</v>
      </c>
      <c r="G10" s="54">
        <f t="shared" si="0"/>
        <v>5</v>
      </c>
      <c r="H10" s="54">
        <f t="shared" si="1"/>
        <v>110</v>
      </c>
      <c r="I10" s="54">
        <f>H10*G3</f>
        <v>35200</v>
      </c>
      <c r="J10" s="54">
        <f>(R10-17)*I3</f>
        <v>1500</v>
      </c>
      <c r="K10" s="54"/>
      <c r="L10" s="54"/>
      <c r="M10" s="54"/>
      <c r="N10" s="54"/>
      <c r="O10" s="54"/>
      <c r="P10" s="54"/>
      <c r="Q10" s="54"/>
      <c r="R10" s="37">
        <v>22</v>
      </c>
    </row>
    <row r="11" spans="1:18">
      <c r="A11" s="52">
        <v>44409</v>
      </c>
      <c r="B11" s="40">
        <v>41</v>
      </c>
      <c r="C11" s="40">
        <v>50</v>
      </c>
      <c r="D11" s="40">
        <v>13</v>
      </c>
      <c r="E11" s="40">
        <v>15</v>
      </c>
      <c r="F11" s="53">
        <f>B11*B3+D11*C3</f>
        <v>20975.87</v>
      </c>
      <c r="G11" s="54">
        <f t="shared" si="0"/>
        <v>5</v>
      </c>
      <c r="H11" s="54">
        <f t="shared" si="1"/>
        <v>110</v>
      </c>
      <c r="I11" s="54">
        <f>H11*G3</f>
        <v>35200</v>
      </c>
      <c r="J11" s="54">
        <f>R11*I3</f>
        <v>6600</v>
      </c>
      <c r="K11" s="54"/>
      <c r="L11" s="54"/>
      <c r="M11" s="54"/>
      <c r="N11" s="54"/>
      <c r="O11" s="54"/>
      <c r="P11" s="54"/>
      <c r="Q11" s="54"/>
      <c r="R11" s="37">
        <v>22</v>
      </c>
    </row>
    <row r="12" spans="1:18">
      <c r="A12" s="52">
        <v>44440</v>
      </c>
      <c r="B12" s="40">
        <v>35</v>
      </c>
      <c r="C12" s="40">
        <v>38</v>
      </c>
      <c r="D12" s="40">
        <v>7</v>
      </c>
      <c r="E12" s="40">
        <v>7</v>
      </c>
      <c r="F12" s="53">
        <f>B12*B3+D12*C3</f>
        <v>15922.97</v>
      </c>
      <c r="G12" s="54">
        <f t="shared" si="0"/>
        <v>5</v>
      </c>
      <c r="H12" s="54">
        <f t="shared" si="1"/>
        <v>110</v>
      </c>
      <c r="I12" s="54">
        <f>H12*G3</f>
        <v>35200</v>
      </c>
      <c r="J12" s="54">
        <f>R12*I3</f>
        <v>6600</v>
      </c>
      <c r="K12" s="54"/>
      <c r="L12" s="54"/>
      <c r="M12" s="54"/>
      <c r="N12" s="54"/>
      <c r="O12" s="54"/>
      <c r="P12" s="54"/>
      <c r="Q12" s="54"/>
      <c r="R12" s="37">
        <v>22</v>
      </c>
    </row>
    <row r="13" spans="1:18">
      <c r="A13" s="52">
        <v>44470</v>
      </c>
      <c r="B13" s="40">
        <v>8</v>
      </c>
      <c r="C13" s="40">
        <v>13</v>
      </c>
      <c r="D13" s="40">
        <v>2</v>
      </c>
      <c r="E13" s="40">
        <v>3</v>
      </c>
      <c r="F13" s="53">
        <f>B13*B3+D13*C3</f>
        <v>3833.14</v>
      </c>
      <c r="G13" s="54">
        <f t="shared" si="0"/>
        <v>5</v>
      </c>
      <c r="H13" s="54">
        <f t="shared" si="1"/>
        <v>85</v>
      </c>
      <c r="I13" s="54">
        <f>H13*G3</f>
        <v>27200</v>
      </c>
      <c r="J13" s="54">
        <f>(R13-7)*I3</f>
        <v>3000</v>
      </c>
      <c r="K13" s="54"/>
      <c r="L13" s="54"/>
      <c r="M13" s="54"/>
      <c r="N13" s="54"/>
      <c r="O13" s="54"/>
      <c r="P13" s="54"/>
      <c r="Q13" s="54"/>
      <c r="R13" s="37">
        <v>17</v>
      </c>
    </row>
    <row r="14" spans="1:18">
      <c r="A14" s="52">
        <v>44501</v>
      </c>
      <c r="B14" s="40">
        <v>12</v>
      </c>
      <c r="C14" s="40">
        <v>13</v>
      </c>
      <c r="D14" s="40">
        <v>2</v>
      </c>
      <c r="E14" s="40">
        <v>3</v>
      </c>
      <c r="F14" s="53">
        <f>B14*B3+D14*C3</f>
        <v>5265.7</v>
      </c>
      <c r="G14" s="54">
        <f t="shared" si="0"/>
        <v>5</v>
      </c>
      <c r="H14" s="54">
        <f t="shared" si="1"/>
        <v>110</v>
      </c>
      <c r="I14" s="54">
        <f>H14*G3</f>
        <v>35200</v>
      </c>
      <c r="J14" s="54">
        <f>(R14-8)*I3</f>
        <v>4200</v>
      </c>
      <c r="K14" s="54"/>
      <c r="L14" s="54"/>
      <c r="M14" s="54"/>
      <c r="N14" s="54"/>
      <c r="O14" s="54"/>
      <c r="P14" s="54"/>
      <c r="Q14" s="54"/>
      <c r="R14" s="37">
        <v>22</v>
      </c>
    </row>
    <row r="15" spans="1:18">
      <c r="A15" s="52">
        <v>44531</v>
      </c>
      <c r="B15" s="40">
        <v>1</v>
      </c>
      <c r="C15" s="40">
        <v>4</v>
      </c>
      <c r="D15" s="40">
        <v>2</v>
      </c>
      <c r="E15" s="40">
        <v>2</v>
      </c>
      <c r="F15" s="53">
        <f>B15*B3+D15*C3</f>
        <v>1326.16</v>
      </c>
      <c r="G15" s="54">
        <f t="shared" si="0"/>
        <v>5</v>
      </c>
      <c r="H15" s="54">
        <f t="shared" si="1"/>
        <v>115</v>
      </c>
      <c r="I15" s="54">
        <f>H15*G3</f>
        <v>36800</v>
      </c>
      <c r="J15" s="54">
        <f>(R15-20)*I3</f>
        <v>900</v>
      </c>
      <c r="K15" s="54"/>
      <c r="L15" s="54"/>
      <c r="M15" s="54"/>
      <c r="N15" s="54"/>
      <c r="O15" s="54"/>
      <c r="P15" s="54"/>
      <c r="Q15" s="54"/>
      <c r="R15" s="37">
        <v>23</v>
      </c>
    </row>
    <row r="16" ht="15.75" spans="1:18">
      <c r="A16" s="55" t="s">
        <v>81</v>
      </c>
      <c r="B16" s="56">
        <f>SUM(B8:B15)</f>
        <v>150</v>
      </c>
      <c r="C16" s="56">
        <f>SUM(C8:C15)</f>
        <v>171</v>
      </c>
      <c r="D16" s="56">
        <f t="shared" ref="D16:F16" si="2">SUM(D8:D15)</f>
        <v>35</v>
      </c>
      <c r="E16" s="56">
        <f t="shared" si="2"/>
        <v>39</v>
      </c>
      <c r="F16" s="57">
        <f t="shared" si="2"/>
        <v>70661.35</v>
      </c>
      <c r="G16" s="58"/>
      <c r="H16" s="58">
        <f>SUM(H8:H15)</f>
        <v>840</v>
      </c>
      <c r="I16" s="58">
        <f>SUM(I8:I15)</f>
        <v>268800</v>
      </c>
      <c r="J16" s="58">
        <f>SUM(J8:J15)</f>
        <v>31800</v>
      </c>
      <c r="K16" s="58"/>
      <c r="L16" s="58"/>
      <c r="M16" s="58"/>
      <c r="N16" s="58"/>
      <c r="O16" s="58"/>
      <c r="P16" s="58"/>
      <c r="Q16" s="59">
        <f>I16+J16</f>
        <v>300600</v>
      </c>
      <c r="R16" s="37"/>
    </row>
    <row r="17" spans="1:21">
      <c r="A17" s="52">
        <v>44562</v>
      </c>
      <c r="B17" s="40">
        <v>4</v>
      </c>
      <c r="C17" s="40">
        <v>4</v>
      </c>
      <c r="D17" s="40">
        <v>2</v>
      </c>
      <c r="E17" s="40">
        <v>3</v>
      </c>
      <c r="F17" s="53">
        <f>B17*B3+D17*C3</f>
        <v>2400.58</v>
      </c>
      <c r="G17" s="54">
        <f>3+2</f>
        <v>5</v>
      </c>
      <c r="H17" s="54">
        <f>G17*R17</f>
        <v>105</v>
      </c>
      <c r="I17" s="54">
        <f>H17*G3</f>
        <v>33600</v>
      </c>
      <c r="J17" s="54">
        <f>(R17-15)*I3</f>
        <v>1800</v>
      </c>
      <c r="K17" s="54"/>
      <c r="L17" s="54"/>
      <c r="M17" s="54"/>
      <c r="N17" s="54"/>
      <c r="O17" s="54"/>
      <c r="P17" s="54"/>
      <c r="Q17" s="54"/>
      <c r="R17" s="37">
        <v>21</v>
      </c>
    </row>
    <row r="18" spans="1:21">
      <c r="A18" s="52">
        <v>44593</v>
      </c>
      <c r="B18" s="40">
        <v>1</v>
      </c>
      <c r="C18" s="40">
        <v>1</v>
      </c>
      <c r="D18" s="40"/>
      <c r="E18" s="40"/>
      <c r="F18" s="53">
        <f>B18*B3+D18*C3</f>
        <v>358.14</v>
      </c>
      <c r="G18" s="54">
        <f t="shared" ref="G18:G22" si="3">3+2</f>
        <v>5</v>
      </c>
      <c r="H18" s="54">
        <f t="shared" ref="H18:H22" si="4">G18*R18</f>
        <v>80</v>
      </c>
      <c r="I18" s="54">
        <f>H18*G3</f>
        <v>25600</v>
      </c>
      <c r="J18" s="54">
        <f>(R18-15)*I3</f>
        <v>300</v>
      </c>
      <c r="K18" s="54"/>
      <c r="L18" s="54"/>
      <c r="M18" s="54"/>
      <c r="N18" s="54"/>
      <c r="O18" s="54"/>
      <c r="P18" s="54"/>
      <c r="Q18" s="54"/>
      <c r="R18" s="37">
        <v>16</v>
      </c>
    </row>
    <row r="19" spans="1:21">
      <c r="A19" s="52">
        <v>44621</v>
      </c>
      <c r="B19" s="40">
        <v>6</v>
      </c>
      <c r="C19" s="40">
        <v>10</v>
      </c>
      <c r="D19" s="40"/>
      <c r="E19" s="40">
        <v>1</v>
      </c>
      <c r="F19" s="53">
        <f>B19*B3+D19*C3</f>
        <v>2148.84</v>
      </c>
      <c r="G19" s="54">
        <f t="shared" si="3"/>
        <v>5</v>
      </c>
      <c r="H19" s="54">
        <f t="shared" si="4"/>
        <v>115</v>
      </c>
      <c r="I19" s="54">
        <f>H19*G3</f>
        <v>36800</v>
      </c>
      <c r="J19" s="54">
        <f>(R19-17)*I3</f>
        <v>1800</v>
      </c>
      <c r="K19" s="54"/>
      <c r="L19" s="54"/>
      <c r="M19" s="54"/>
      <c r="N19" s="54"/>
      <c r="O19" s="54"/>
      <c r="P19" s="54"/>
      <c r="Q19" s="54"/>
      <c r="R19" s="37">
        <v>23</v>
      </c>
    </row>
    <row r="20" spans="1:21">
      <c r="A20" s="52">
        <v>44652</v>
      </c>
      <c r="B20" s="40">
        <v>8</v>
      </c>
      <c r="C20" s="40">
        <v>15</v>
      </c>
      <c r="D20" s="40"/>
      <c r="E20" s="40">
        <v>7</v>
      </c>
      <c r="F20" s="53">
        <f>B20*B3+D20*C3</f>
        <v>2865.12</v>
      </c>
      <c r="G20" s="54">
        <f t="shared" si="3"/>
        <v>5</v>
      </c>
      <c r="H20" s="54">
        <f t="shared" si="4"/>
        <v>105</v>
      </c>
      <c r="I20" s="54">
        <f>H20*G3</f>
        <v>33600</v>
      </c>
      <c r="J20" s="54">
        <f>(R20-13)*I3</f>
        <v>2400</v>
      </c>
      <c r="K20" s="54"/>
      <c r="L20" s="54"/>
      <c r="M20" s="54"/>
      <c r="N20" s="54"/>
      <c r="O20" s="54"/>
      <c r="P20" s="54"/>
      <c r="Q20" s="54"/>
      <c r="R20" s="37">
        <v>21</v>
      </c>
    </row>
    <row r="21" spans="1:21">
      <c r="A21" s="52">
        <v>44682</v>
      </c>
      <c r="B21" s="40">
        <v>11</v>
      </c>
      <c r="C21" s="40">
        <v>15</v>
      </c>
      <c r="D21" s="40">
        <v>11</v>
      </c>
      <c r="E21" s="40">
        <v>19</v>
      </c>
      <c r="F21" s="53">
        <f>B21*B3+D21*C3</f>
        <v>9263.65</v>
      </c>
      <c r="G21" s="54">
        <f t="shared" si="3"/>
        <v>5</v>
      </c>
      <c r="H21" s="54">
        <f t="shared" si="4"/>
        <v>100</v>
      </c>
      <c r="I21" s="54">
        <f>H21*G3</f>
        <v>32000</v>
      </c>
      <c r="J21" s="54">
        <f>R21*I3</f>
        <v>6000</v>
      </c>
      <c r="K21" s="54"/>
      <c r="L21" s="54"/>
      <c r="M21" s="54"/>
      <c r="N21" s="54"/>
      <c r="O21" s="54"/>
      <c r="P21" s="54"/>
      <c r="Q21" s="54"/>
      <c r="R21" s="37">
        <v>20</v>
      </c>
    </row>
    <row r="22" spans="1:21">
      <c r="A22" s="52">
        <v>44713</v>
      </c>
      <c r="B22" s="40">
        <v>10</v>
      </c>
      <c r="C22" s="40">
        <v>10</v>
      </c>
      <c r="D22" s="40">
        <v>1</v>
      </c>
      <c r="E22" s="40">
        <v>3</v>
      </c>
      <c r="F22" s="53">
        <f>B22*B3+D22*C3</f>
        <v>4065.41</v>
      </c>
      <c r="G22" s="54">
        <f t="shared" si="3"/>
        <v>5</v>
      </c>
      <c r="H22" s="54">
        <f t="shared" si="4"/>
        <v>105</v>
      </c>
      <c r="I22" s="54">
        <f>H22*G3</f>
        <v>33600</v>
      </c>
      <c r="J22" s="54">
        <f>(R22-10)*I3</f>
        <v>3300</v>
      </c>
      <c r="K22" s="54"/>
      <c r="L22" s="54"/>
      <c r="M22" s="54"/>
      <c r="N22" s="54"/>
      <c r="O22" s="54"/>
      <c r="P22" s="54"/>
      <c r="Q22" s="54"/>
      <c r="R22" s="37">
        <v>21</v>
      </c>
    </row>
    <row r="23" spans="1:21">
      <c r="A23" s="52">
        <v>44743</v>
      </c>
      <c r="B23" s="40">
        <v>5</v>
      </c>
      <c r="C23" s="40">
        <v>17</v>
      </c>
      <c r="D23" s="40">
        <v>3</v>
      </c>
      <c r="E23" s="40">
        <v>7</v>
      </c>
      <c r="F23" s="53">
        <f>B23*B3+D23*C3</f>
        <v>3242.73</v>
      </c>
      <c r="G23" s="54"/>
      <c r="H23" s="54"/>
      <c r="I23" s="54"/>
      <c r="J23" s="54"/>
      <c r="K23" s="54">
        <v>2</v>
      </c>
      <c r="L23" s="54">
        <v>22</v>
      </c>
      <c r="M23" s="54">
        <v>3</v>
      </c>
      <c r="N23" s="54">
        <v>43</v>
      </c>
      <c r="O23" s="54">
        <f>L23*G3+N23*H3</f>
        <v>17790</v>
      </c>
      <c r="P23" s="54">
        <f>(L23-14)*J3</f>
        <v>1600</v>
      </c>
      <c r="Q23" s="54"/>
      <c r="R23" s="37">
        <v>21</v>
      </c>
      <c r="S23" s="60"/>
      <c r="T23" s="60"/>
      <c r="U23" s="60"/>
    </row>
    <row r="24" spans="1:21">
      <c r="A24" s="52">
        <v>44774</v>
      </c>
      <c r="B24" s="40">
        <v>7</v>
      </c>
      <c r="C24" s="40">
        <v>13</v>
      </c>
      <c r="D24" s="40">
        <v>10</v>
      </c>
      <c r="E24" s="40">
        <v>15</v>
      </c>
      <c r="F24" s="53">
        <f>B24*B3+D24*C3</f>
        <v>7347.08</v>
      </c>
      <c r="G24" s="54"/>
      <c r="H24" s="54"/>
      <c r="I24" s="54"/>
      <c r="J24" s="54"/>
      <c r="K24" s="54">
        <v>3</v>
      </c>
      <c r="L24" s="54">
        <v>69</v>
      </c>
      <c r="M24" s="54">
        <v>4</v>
      </c>
      <c r="N24" s="54">
        <v>92</v>
      </c>
      <c r="O24" s="54">
        <f>L24*G3+N24*H3</f>
        <v>45080</v>
      </c>
      <c r="P24" s="54">
        <f>(L24-21)*J3</f>
        <v>9600</v>
      </c>
      <c r="Q24" s="54"/>
      <c r="R24" s="37">
        <v>23</v>
      </c>
    </row>
    <row r="25" spans="1:21">
      <c r="A25" s="52">
        <v>44805</v>
      </c>
      <c r="B25" s="40">
        <v>30</v>
      </c>
      <c r="C25" s="40">
        <v>32</v>
      </c>
      <c r="D25" s="40">
        <v>5</v>
      </c>
      <c r="E25" s="40">
        <v>8</v>
      </c>
      <c r="F25" s="53">
        <f>B25*B3+D25*C3</f>
        <v>13164.25</v>
      </c>
      <c r="G25" s="54"/>
      <c r="H25" s="54"/>
      <c r="I25" s="54"/>
      <c r="J25" s="54"/>
      <c r="K25" s="54">
        <v>5</v>
      </c>
      <c r="L25" s="54">
        <v>120</v>
      </c>
      <c r="M25" s="54">
        <v>6</v>
      </c>
      <c r="N25" s="54">
        <v>141</v>
      </c>
      <c r="O25" s="54">
        <f>L25*G3+N25*H3</f>
        <v>73650</v>
      </c>
      <c r="P25" s="54">
        <f>(L25-35)*J3</f>
        <v>17000</v>
      </c>
      <c r="Q25" s="54"/>
      <c r="R25" s="37">
        <v>21</v>
      </c>
    </row>
    <row r="26" spans="1:21">
      <c r="A26" s="52">
        <v>44835</v>
      </c>
      <c r="B26" s="40">
        <v>10</v>
      </c>
      <c r="C26" s="40">
        <v>13</v>
      </c>
      <c r="D26" s="40">
        <v>3</v>
      </c>
      <c r="E26" s="40">
        <v>3</v>
      </c>
      <c r="F26" s="53">
        <f>B26*B3+D26*C3</f>
        <v>5033.43</v>
      </c>
      <c r="G26" s="54"/>
      <c r="H26" s="54"/>
      <c r="I26" s="54"/>
      <c r="J26" s="54"/>
      <c r="K26" s="54">
        <v>2</v>
      </c>
      <c r="L26" s="54">
        <v>38</v>
      </c>
      <c r="M26" s="54">
        <v>3</v>
      </c>
      <c r="N26" s="54">
        <v>56</v>
      </c>
      <c r="O26" s="54">
        <f>L26*G3+N26*H3</f>
        <v>26160</v>
      </c>
      <c r="P26" s="54">
        <f>(L26-14)*J3</f>
        <v>4800</v>
      </c>
      <c r="Q26" s="54"/>
      <c r="R26" s="37">
        <v>18</v>
      </c>
    </row>
    <row r="27" spans="1:21">
      <c r="A27" s="52">
        <v>44866</v>
      </c>
      <c r="B27" s="40">
        <v>82</v>
      </c>
      <c r="C27" s="40">
        <v>98</v>
      </c>
      <c r="D27" s="40">
        <v>8</v>
      </c>
      <c r="E27" s="40">
        <v>10</v>
      </c>
      <c r="F27" s="53">
        <f>B27*B3+D27*C3</f>
        <v>33239.56</v>
      </c>
      <c r="G27" s="54"/>
      <c r="H27" s="54"/>
      <c r="I27" s="54"/>
      <c r="J27" s="54"/>
      <c r="K27" s="54">
        <v>7</v>
      </c>
      <c r="L27" s="54">
        <v>182</v>
      </c>
      <c r="M27" s="54">
        <v>8</v>
      </c>
      <c r="N27" s="54">
        <v>204</v>
      </c>
      <c r="O27" s="54">
        <f>L27*G3+N27*H3</f>
        <v>109240</v>
      </c>
      <c r="P27" s="54">
        <f>(L27-49)*J3</f>
        <v>26600</v>
      </c>
      <c r="Q27" s="54"/>
      <c r="R27" s="37">
        <v>22</v>
      </c>
    </row>
    <row r="28" spans="1:21">
      <c r="A28" s="52">
        <v>44896</v>
      </c>
      <c r="B28" s="40">
        <v>78</v>
      </c>
      <c r="C28" s="40">
        <v>80</v>
      </c>
      <c r="D28" s="40">
        <v>11</v>
      </c>
      <c r="E28" s="40">
        <v>24</v>
      </c>
      <c r="F28" s="53">
        <f>B28*B3+D28*C3</f>
        <v>33259.03</v>
      </c>
      <c r="G28" s="54"/>
      <c r="H28" s="54"/>
      <c r="I28" s="54"/>
      <c r="J28" s="54"/>
      <c r="K28" s="54">
        <v>7</v>
      </c>
      <c r="L28" s="54">
        <v>189</v>
      </c>
      <c r="M28" s="54">
        <v>8</v>
      </c>
      <c r="N28" s="54">
        <v>211</v>
      </c>
      <c r="O28" s="54">
        <f>L28*G3+N28*H3</f>
        <v>113230</v>
      </c>
      <c r="P28" s="54">
        <f>(L28-49)*J3</f>
        <v>28000</v>
      </c>
      <c r="Q28" s="54"/>
      <c r="R28" s="37">
        <v>22</v>
      </c>
    </row>
    <row r="29" ht="15.75" spans="1:21">
      <c r="A29" s="61" t="s">
        <v>82</v>
      </c>
      <c r="B29" s="56">
        <f>SUM(B17:B28)</f>
        <v>252</v>
      </c>
      <c r="C29" s="56">
        <f>SUM(C17:C28)</f>
        <v>308</v>
      </c>
      <c r="D29" s="56">
        <f t="shared" ref="D29:F29" si="5">SUM(D17:D28)</f>
        <v>54</v>
      </c>
      <c r="E29" s="56">
        <f t="shared" si="5"/>
        <v>100</v>
      </c>
      <c r="F29" s="57">
        <f t="shared" si="5"/>
        <v>116387.82</v>
      </c>
      <c r="G29" s="58"/>
      <c r="H29" s="58">
        <f>SUM(H17:H28)</f>
        <v>610</v>
      </c>
      <c r="I29" s="58">
        <f>SUM(I17:I28)</f>
        <v>195200</v>
      </c>
      <c r="J29" s="58">
        <f>SUM(J17:J28)</f>
        <v>15600</v>
      </c>
      <c r="K29" s="58"/>
      <c r="L29" s="58">
        <f>SUM(L23:L28)</f>
        <v>620</v>
      </c>
      <c r="M29" s="58"/>
      <c r="N29" s="58">
        <f>SUM(N23:N28)</f>
        <v>747</v>
      </c>
      <c r="O29" s="58">
        <f>SUM(O23:O28)</f>
        <v>385150</v>
      </c>
      <c r="P29" s="58">
        <f>SUM(P23:P28)</f>
        <v>87600</v>
      </c>
      <c r="Q29" s="59">
        <f>I29+J29+O29+P29</f>
        <v>683550</v>
      </c>
      <c r="R29" s="37"/>
      <c r="U29" s="62"/>
    </row>
    <row r="30" spans="1:21">
      <c r="A30" s="52">
        <v>44927</v>
      </c>
      <c r="B30" s="40">
        <v>9</v>
      </c>
      <c r="C30" s="40">
        <v>15</v>
      </c>
      <c r="D30" s="40">
        <v>24</v>
      </c>
      <c r="E30" s="40">
        <v>30</v>
      </c>
      <c r="F30" s="53">
        <f>B30*B3+D30*C3</f>
        <v>14839.5</v>
      </c>
      <c r="G30" s="54"/>
      <c r="H30" s="54"/>
      <c r="I30" s="54"/>
      <c r="J30" s="54"/>
      <c r="K30" s="54">
        <v>6</v>
      </c>
      <c r="L30" s="54">
        <v>120</v>
      </c>
      <c r="M30" s="54">
        <v>7</v>
      </c>
      <c r="N30" s="54">
        <v>138</v>
      </c>
      <c r="O30" s="54">
        <f>L30*G3+N30*H3</f>
        <v>72900</v>
      </c>
      <c r="P30" s="54">
        <f>(L30-48)*J3</f>
        <v>14400</v>
      </c>
      <c r="Q30" s="54"/>
      <c r="R30" s="37">
        <v>18</v>
      </c>
    </row>
    <row r="31" spans="1:21">
      <c r="A31" s="52">
        <v>44958</v>
      </c>
      <c r="B31" s="40">
        <v>16</v>
      </c>
      <c r="C31" s="40">
        <v>22</v>
      </c>
      <c r="D31" s="40">
        <v>6</v>
      </c>
      <c r="E31" s="40">
        <v>7</v>
      </c>
      <c r="F31" s="53">
        <f>B31*B3+D31*C3</f>
        <v>8634.3</v>
      </c>
      <c r="G31" s="54"/>
      <c r="H31" s="54"/>
      <c r="I31" s="54"/>
      <c r="J31" s="54"/>
      <c r="K31" s="54">
        <v>3</v>
      </c>
      <c r="L31" s="54">
        <v>57</v>
      </c>
      <c r="M31" s="54">
        <v>4</v>
      </c>
      <c r="N31" s="54">
        <v>77</v>
      </c>
      <c r="O31" s="54">
        <f>L31*G3+N31*H3</f>
        <v>37490</v>
      </c>
      <c r="P31" s="54">
        <f>(L31-24)*J3</f>
        <v>6600</v>
      </c>
      <c r="Q31" s="54"/>
      <c r="R31" s="37">
        <v>20</v>
      </c>
    </row>
    <row r="32" spans="1:21">
      <c r="A32" s="52">
        <v>44986</v>
      </c>
      <c r="B32" s="40">
        <v>42</v>
      </c>
      <c r="C32" s="40">
        <v>46</v>
      </c>
      <c r="D32" s="40">
        <v>9</v>
      </c>
      <c r="E32" s="40">
        <v>10</v>
      </c>
      <c r="F32" s="53">
        <f>B32*B3+D32*C3</f>
        <v>19397.97</v>
      </c>
      <c r="G32" s="54"/>
      <c r="H32" s="54"/>
      <c r="I32" s="54"/>
      <c r="J32" s="54"/>
      <c r="K32" s="54">
        <v>4</v>
      </c>
      <c r="L32" s="54">
        <v>100</v>
      </c>
      <c r="M32" s="54">
        <v>5</v>
      </c>
      <c r="N32" s="54">
        <v>123</v>
      </c>
      <c r="O32" s="54">
        <f>L32*G3+N32*H3</f>
        <v>62750</v>
      </c>
      <c r="P32" s="54">
        <f>(L32-32)*J3</f>
        <v>13600</v>
      </c>
      <c r="Q32" s="54"/>
      <c r="R32" s="37">
        <v>23</v>
      </c>
    </row>
    <row r="33" spans="1:21">
      <c r="A33" s="52">
        <v>45017</v>
      </c>
      <c r="B33" s="40">
        <v>31</v>
      </c>
      <c r="C33" s="40">
        <v>31</v>
      </c>
      <c r="D33" s="40">
        <v>32</v>
      </c>
      <c r="E33" s="40">
        <v>34</v>
      </c>
      <c r="F33" s="53">
        <f>B33*B3+D33*C3</f>
        <v>26590.66</v>
      </c>
      <c r="G33" s="54"/>
      <c r="H33" s="54"/>
      <c r="I33" s="54"/>
      <c r="J33" s="54"/>
      <c r="K33" s="54">
        <v>7</v>
      </c>
      <c r="L33" s="54">
        <v>182</v>
      </c>
      <c r="M33" s="54">
        <v>8</v>
      </c>
      <c r="N33" s="54">
        <v>202</v>
      </c>
      <c r="O33" s="54">
        <f>L33*G3+N33*H3</f>
        <v>108740</v>
      </c>
      <c r="P33" s="54">
        <f>(L33-70)*J3</f>
        <v>22400</v>
      </c>
      <c r="Q33" s="54"/>
      <c r="R33" s="37">
        <v>20</v>
      </c>
    </row>
    <row r="34" spans="1:21">
      <c r="A34" s="52">
        <v>45047</v>
      </c>
      <c r="B34" s="40">
        <v>28</v>
      </c>
      <c r="C34" s="40">
        <v>28</v>
      </c>
      <c r="D34" s="40">
        <v>13</v>
      </c>
      <c r="E34" s="40">
        <v>20</v>
      </c>
      <c r="F34" s="53">
        <f>B34*B3+D34*C3</f>
        <v>16320.05</v>
      </c>
      <c r="G34" s="54"/>
      <c r="H34" s="54"/>
      <c r="I34" s="54"/>
      <c r="J34" s="54"/>
      <c r="K34" s="54">
        <v>4</v>
      </c>
      <c r="L34" s="54">
        <v>84</v>
      </c>
      <c r="M34" s="54">
        <v>5</v>
      </c>
      <c r="N34" s="54">
        <v>105</v>
      </c>
      <c r="O34" s="54">
        <f>L34*G3+N34*H3</f>
        <v>53130</v>
      </c>
      <c r="P34" s="54">
        <f>(L34-32)*J3</f>
        <v>10400</v>
      </c>
      <c r="Q34" s="54"/>
      <c r="R34" s="37">
        <v>21</v>
      </c>
    </row>
    <row r="35" spans="1:21">
      <c r="A35" s="52">
        <v>45078</v>
      </c>
      <c r="B35" s="40">
        <v>16</v>
      </c>
      <c r="C35" s="40">
        <v>18</v>
      </c>
      <c r="D35" s="40">
        <v>4</v>
      </c>
      <c r="E35" s="40">
        <v>4</v>
      </c>
      <c r="F35" s="53">
        <f>B35*B3+D35*C3</f>
        <v>7666.28</v>
      </c>
      <c r="G35" s="54"/>
      <c r="H35" s="54"/>
      <c r="I35" s="54"/>
      <c r="J35" s="54"/>
      <c r="K35" s="54">
        <v>3</v>
      </c>
      <c r="L35" s="54">
        <v>63</v>
      </c>
      <c r="M35" s="54">
        <v>4</v>
      </c>
      <c r="N35" s="54">
        <v>84</v>
      </c>
      <c r="O35" s="54">
        <f>L35*G3+N35*H3</f>
        <v>41160</v>
      </c>
      <c r="P35" s="54">
        <f>(L35-24)*J3</f>
        <v>7800</v>
      </c>
      <c r="Q35" s="54"/>
      <c r="R35" s="37">
        <v>21</v>
      </c>
    </row>
    <row r="36" spans="1:21">
      <c r="A36" s="52">
        <v>45108</v>
      </c>
      <c r="B36" s="40">
        <v>6</v>
      </c>
      <c r="C36" s="40">
        <v>7</v>
      </c>
      <c r="D36" s="40">
        <v>1</v>
      </c>
      <c r="E36" s="40">
        <v>2</v>
      </c>
      <c r="F36" s="53">
        <f>B36*B3+D36*C3</f>
        <v>2632.85</v>
      </c>
      <c r="G36" s="54"/>
      <c r="H36" s="54"/>
      <c r="I36" s="54"/>
      <c r="J36" s="54"/>
      <c r="K36" s="54">
        <v>2</v>
      </c>
      <c r="L36" s="54">
        <v>22</v>
      </c>
      <c r="M36" s="54">
        <v>3</v>
      </c>
      <c r="N36" s="54">
        <v>43</v>
      </c>
      <c r="O36" s="54">
        <f>L36*G3+N36*H3</f>
        <v>17790</v>
      </c>
      <c r="P36" s="54">
        <f>(L36-16)*J3</f>
        <v>1200</v>
      </c>
      <c r="Q36" s="54"/>
      <c r="R36" s="37">
        <v>21</v>
      </c>
    </row>
    <row r="37" spans="1:21">
      <c r="A37" s="52">
        <v>45139</v>
      </c>
      <c r="B37" s="40">
        <v>8</v>
      </c>
      <c r="C37" s="40">
        <v>8</v>
      </c>
      <c r="D37" s="40">
        <v>6</v>
      </c>
      <c r="E37" s="40">
        <v>6</v>
      </c>
      <c r="F37" s="53">
        <f>B37*B3+D37*C3</f>
        <v>5769.18</v>
      </c>
      <c r="G37" s="54"/>
      <c r="H37" s="54"/>
      <c r="I37" s="54"/>
      <c r="J37" s="54"/>
      <c r="K37" s="54">
        <v>2</v>
      </c>
      <c r="L37" s="54">
        <v>40</v>
      </c>
      <c r="M37" s="54">
        <v>3</v>
      </c>
      <c r="N37" s="54">
        <v>63</v>
      </c>
      <c r="O37" s="54">
        <f>L37*G3+N37*H3</f>
        <v>28550</v>
      </c>
      <c r="P37" s="54">
        <f>(L37-16)*J3</f>
        <v>4800</v>
      </c>
      <c r="Q37" s="54"/>
      <c r="R37" s="37">
        <v>23</v>
      </c>
    </row>
    <row r="38" spans="1:21">
      <c r="A38" s="52">
        <v>45170</v>
      </c>
      <c r="B38" s="40">
        <v>52</v>
      </c>
      <c r="C38" s="40">
        <v>52</v>
      </c>
      <c r="D38" s="40">
        <v>13</v>
      </c>
      <c r="E38" s="40">
        <v>13</v>
      </c>
      <c r="F38" s="53">
        <f>B38*B3+D38*C3</f>
        <v>24915.41</v>
      </c>
      <c r="G38" s="54"/>
      <c r="H38" s="54"/>
      <c r="I38" s="54"/>
      <c r="J38" s="54"/>
      <c r="K38" s="54">
        <v>4</v>
      </c>
      <c r="L38" s="54">
        <v>92</v>
      </c>
      <c r="M38" s="54">
        <v>5</v>
      </c>
      <c r="N38" s="54">
        <v>112</v>
      </c>
      <c r="O38" s="54">
        <f>L38*G3+N38*H3</f>
        <v>57440</v>
      </c>
      <c r="P38" s="54">
        <f>(L38-32)*J3</f>
        <v>12000</v>
      </c>
      <c r="Q38" s="54"/>
      <c r="R38" s="37">
        <v>20</v>
      </c>
    </row>
    <row r="39" spans="1:21">
      <c r="A39" s="52">
        <v>45200</v>
      </c>
      <c r="B39" s="40">
        <v>51</v>
      </c>
      <c r="C39" s="40">
        <v>53</v>
      </c>
      <c r="D39" s="40">
        <v>10</v>
      </c>
      <c r="E39" s="40">
        <v>11</v>
      </c>
      <c r="F39" s="53">
        <f>B39*B3+D39*C3</f>
        <v>23105.24</v>
      </c>
      <c r="G39" s="54"/>
      <c r="H39" s="54"/>
      <c r="I39" s="54"/>
      <c r="J39" s="54"/>
      <c r="K39" s="54">
        <v>4</v>
      </c>
      <c r="L39" s="54">
        <v>80</v>
      </c>
      <c r="M39" s="54">
        <v>5</v>
      </c>
      <c r="N39" s="54">
        <v>99</v>
      </c>
      <c r="O39" s="54">
        <f>L39*G3+N39*H3</f>
        <v>50350</v>
      </c>
      <c r="P39" s="54">
        <f>(L39-32)*J3</f>
        <v>9600</v>
      </c>
      <c r="Q39" s="54"/>
      <c r="R39" s="37">
        <v>19</v>
      </c>
    </row>
    <row r="40" spans="1:21">
      <c r="A40" s="52">
        <v>45231</v>
      </c>
      <c r="B40" s="40">
        <v>70</v>
      </c>
      <c r="C40" s="40">
        <v>70</v>
      </c>
      <c r="D40" s="40">
        <v>16</v>
      </c>
      <c r="E40" s="40">
        <v>17</v>
      </c>
      <c r="F40" s="53">
        <f>B40*B3+D40*C3</f>
        <v>32813.96</v>
      </c>
      <c r="G40" s="54"/>
      <c r="H40" s="54"/>
      <c r="I40" s="54"/>
      <c r="J40" s="54"/>
      <c r="K40" s="54">
        <v>7</v>
      </c>
      <c r="L40" s="54">
        <v>182</v>
      </c>
      <c r="M40" s="54">
        <v>8</v>
      </c>
      <c r="N40" s="54">
        <v>204</v>
      </c>
      <c r="O40" s="54">
        <f>L40*G3+N40*H3</f>
        <v>109240</v>
      </c>
      <c r="P40" s="54">
        <f>(L40-77)*J3</f>
        <v>21000</v>
      </c>
      <c r="Q40" s="54"/>
      <c r="R40" s="37">
        <v>22</v>
      </c>
    </row>
    <row r="41" spans="1:21">
      <c r="A41" s="52">
        <v>45261</v>
      </c>
      <c r="B41" s="40">
        <v>7</v>
      </c>
      <c r="C41" s="40">
        <v>7</v>
      </c>
      <c r="D41" s="40"/>
      <c r="E41" s="40">
        <v>1</v>
      </c>
      <c r="F41" s="53">
        <f>B41*B3+D41*C3</f>
        <v>2506.98</v>
      </c>
      <c r="G41" s="54"/>
      <c r="H41" s="54"/>
      <c r="I41" s="54"/>
      <c r="J41" s="54"/>
      <c r="K41" s="54">
        <v>1</v>
      </c>
      <c r="L41" s="54">
        <v>15</v>
      </c>
      <c r="M41" s="54">
        <v>2</v>
      </c>
      <c r="N41" s="54">
        <v>36</v>
      </c>
      <c r="O41" s="54">
        <f>L41*G3+N41*H3</f>
        <v>13800</v>
      </c>
      <c r="P41" s="54">
        <f>(L41-8)*J3</f>
        <v>1400</v>
      </c>
      <c r="Q41" s="54"/>
      <c r="R41" s="37">
        <v>21</v>
      </c>
    </row>
    <row r="42" ht="15.75" spans="1:21">
      <c r="A42" s="61" t="s">
        <v>83</v>
      </c>
      <c r="B42" s="56">
        <f>SUM(B30:B41)</f>
        <v>336</v>
      </c>
      <c r="C42" s="56">
        <f>SUM(C30:C41)</f>
        <v>357</v>
      </c>
      <c r="D42" s="56">
        <f t="shared" ref="D42:F42" si="6">SUM(D30:D41)</f>
        <v>134</v>
      </c>
      <c r="E42" s="56">
        <f t="shared" si="6"/>
        <v>155</v>
      </c>
      <c r="F42" s="57">
        <f t="shared" si="6"/>
        <v>185192.38</v>
      </c>
      <c r="G42" s="58"/>
      <c r="H42" s="58"/>
      <c r="I42" s="58"/>
      <c r="J42" s="54"/>
      <c r="K42" s="58"/>
      <c r="L42" s="58">
        <f>SUM(L30:L41)</f>
        <v>1037</v>
      </c>
      <c r="M42" s="58"/>
      <c r="N42" s="58">
        <f>SUM(N30:N41)</f>
        <v>1286</v>
      </c>
      <c r="O42" s="58">
        <f>SUM(O30:O41)</f>
        <v>653340</v>
      </c>
      <c r="P42" s="58">
        <f>SUM(P30:P41)</f>
        <v>125200</v>
      </c>
      <c r="Q42" s="59">
        <f>O42+P42</f>
        <v>778540</v>
      </c>
      <c r="R42" s="37"/>
      <c r="U42" s="62"/>
    </row>
    <row r="43" spans="1:21">
      <c r="A43" s="52">
        <v>45292</v>
      </c>
      <c r="B43" s="40">
        <v>13</v>
      </c>
      <c r="C43" s="40">
        <v>4</v>
      </c>
      <c r="D43" s="40"/>
      <c r="E43" s="40">
        <v>4</v>
      </c>
      <c r="F43" s="53">
        <f>B43*B3+D43*C3</f>
        <v>4655.82</v>
      </c>
      <c r="G43" s="54"/>
      <c r="H43" s="54"/>
      <c r="I43" s="54"/>
      <c r="J43" s="54"/>
      <c r="K43" s="54">
        <v>2</v>
      </c>
      <c r="L43" s="54">
        <v>32</v>
      </c>
      <c r="M43" s="54">
        <v>3</v>
      </c>
      <c r="N43" s="54">
        <v>54</v>
      </c>
      <c r="O43" s="54">
        <f>L43*G3+N43*H3</f>
        <v>23740</v>
      </c>
      <c r="P43" s="54">
        <f>(L43-12)*J3</f>
        <v>4000</v>
      </c>
      <c r="Q43" s="54"/>
      <c r="R43" s="37">
        <v>22</v>
      </c>
    </row>
    <row r="44" spans="1:21">
      <c r="A44" s="52">
        <v>45323</v>
      </c>
      <c r="B44" s="40">
        <v>5</v>
      </c>
      <c r="C44" s="40"/>
      <c r="D44" s="40">
        <v>1</v>
      </c>
      <c r="E44" s="40"/>
      <c r="F44" s="53">
        <f>B44*B3+D44*C3</f>
        <v>2274.71</v>
      </c>
      <c r="G44" s="54">
        <f>6+2</f>
        <v>8</v>
      </c>
      <c r="H44" s="54">
        <f>G44*R44</f>
        <v>144</v>
      </c>
      <c r="I44" s="54">
        <f>H44*G3</f>
        <v>46080</v>
      </c>
      <c r="J44" s="54">
        <f>(R44-12)*I3</f>
        <v>1800</v>
      </c>
      <c r="K44" s="54">
        <v>2</v>
      </c>
      <c r="L44" s="54">
        <v>12</v>
      </c>
      <c r="M44" s="54">
        <v>3</v>
      </c>
      <c r="N44" s="54">
        <v>30</v>
      </c>
      <c r="O44" s="54">
        <f>L44*G3+N44*H3</f>
        <v>11340</v>
      </c>
      <c r="P44" s="54">
        <f>L44*J3</f>
        <v>2400</v>
      </c>
      <c r="Q44" s="54"/>
      <c r="R44" s="37">
        <v>18</v>
      </c>
    </row>
    <row r="45" spans="1:21">
      <c r="A45" s="52">
        <v>45352</v>
      </c>
      <c r="B45" s="40">
        <v>31</v>
      </c>
      <c r="C45" s="40">
        <v>44</v>
      </c>
      <c r="D45" s="40">
        <v>9</v>
      </c>
      <c r="E45" s="40">
        <v>15</v>
      </c>
      <c r="F45" s="53">
        <f>B45*B3+D45*C3</f>
        <v>15458.43</v>
      </c>
      <c r="G45" s="54">
        <f t="shared" ref="G45:G54" si="7">6+2</f>
        <v>8</v>
      </c>
      <c r="H45" s="54">
        <f t="shared" ref="H45:H54" si="8">G45*R45</f>
        <v>168</v>
      </c>
      <c r="I45" s="54">
        <f>H45*G3</f>
        <v>53760</v>
      </c>
      <c r="J45" s="54">
        <f>R45*I3</f>
        <v>6300</v>
      </c>
      <c r="K45" s="54">
        <v>2</v>
      </c>
      <c r="L45" s="54">
        <v>30</v>
      </c>
      <c r="M45" s="54">
        <v>3</v>
      </c>
      <c r="N45" s="54">
        <v>51</v>
      </c>
      <c r="O45" s="54">
        <f>L45*G3+N45*H3</f>
        <v>22350</v>
      </c>
      <c r="P45" s="54">
        <f>(L45-12)*J3</f>
        <v>3600</v>
      </c>
      <c r="Q45" s="54"/>
      <c r="R45" s="37">
        <v>21</v>
      </c>
    </row>
    <row r="46" spans="1:21">
      <c r="A46" s="52">
        <v>45383</v>
      </c>
      <c r="B46" s="40">
        <v>35</v>
      </c>
      <c r="C46" s="40">
        <v>53</v>
      </c>
      <c r="D46" s="40">
        <v>11</v>
      </c>
      <c r="E46" s="40">
        <v>23</v>
      </c>
      <c r="F46" s="53">
        <f>B46*B3+D46*C3</f>
        <v>17859.01</v>
      </c>
      <c r="G46" s="54">
        <f t="shared" si="7"/>
        <v>8</v>
      </c>
      <c r="H46" s="54">
        <f t="shared" si="8"/>
        <v>176</v>
      </c>
      <c r="I46" s="54">
        <f>H46*G3</f>
        <v>56320</v>
      </c>
      <c r="J46" s="54">
        <f>R46*I3</f>
        <v>6600</v>
      </c>
      <c r="K46" s="54">
        <v>2</v>
      </c>
      <c r="L46" s="54">
        <v>32</v>
      </c>
      <c r="M46" s="54">
        <v>3</v>
      </c>
      <c r="N46" s="54">
        <v>54</v>
      </c>
      <c r="O46" s="54">
        <f>L46*G3+N46*H3</f>
        <v>23740</v>
      </c>
      <c r="P46" s="54">
        <f>(L46-12)*J3</f>
        <v>4000</v>
      </c>
      <c r="Q46" s="54"/>
      <c r="R46" s="37">
        <v>22</v>
      </c>
    </row>
    <row r="47" spans="1:21">
      <c r="A47" s="52">
        <v>45413</v>
      </c>
      <c r="B47" s="40">
        <v>41</v>
      </c>
      <c r="C47" s="40">
        <v>32</v>
      </c>
      <c r="D47" s="40">
        <v>21</v>
      </c>
      <c r="E47" s="40">
        <v>24</v>
      </c>
      <c r="F47" s="53">
        <f>B47*B3+D47*C3</f>
        <v>24847.95</v>
      </c>
      <c r="G47" s="54">
        <f t="shared" si="7"/>
        <v>8</v>
      </c>
      <c r="H47" s="54">
        <f t="shared" si="8"/>
        <v>168</v>
      </c>
      <c r="I47" s="54">
        <f>H47*G3</f>
        <v>53760</v>
      </c>
      <c r="J47" s="54">
        <f>R47*I3</f>
        <v>6300</v>
      </c>
      <c r="K47" s="54">
        <v>2</v>
      </c>
      <c r="L47" s="54">
        <v>38</v>
      </c>
      <c r="M47" s="54">
        <v>3</v>
      </c>
      <c r="N47" s="54">
        <v>59</v>
      </c>
      <c r="O47" s="54">
        <f>L47*G3+N47*H3</f>
        <v>26910</v>
      </c>
      <c r="P47" s="54">
        <f>(L47-12)*J3</f>
        <v>5200</v>
      </c>
      <c r="Q47" s="54"/>
      <c r="R47" s="37">
        <v>21</v>
      </c>
    </row>
    <row r="48" spans="1:21">
      <c r="A48" s="52">
        <v>45444</v>
      </c>
      <c r="B48" s="40">
        <v>53</v>
      </c>
      <c r="C48" s="40">
        <v>82</v>
      </c>
      <c r="D48" s="40">
        <v>14</v>
      </c>
      <c r="E48" s="40">
        <v>19</v>
      </c>
      <c r="F48" s="53">
        <f>B48*B3+D48*C3</f>
        <v>25757.56</v>
      </c>
      <c r="G48" s="54">
        <f t="shared" si="7"/>
        <v>8</v>
      </c>
      <c r="H48" s="54">
        <f t="shared" si="8"/>
        <v>152</v>
      </c>
      <c r="I48" s="54">
        <f>H48*G3</f>
        <v>48640</v>
      </c>
      <c r="J48" s="54">
        <f>R48*I3</f>
        <v>5700</v>
      </c>
      <c r="K48" s="54">
        <v>2</v>
      </c>
      <c r="L48" s="54">
        <v>38</v>
      </c>
      <c r="M48" s="54">
        <v>3</v>
      </c>
      <c r="N48" s="54">
        <v>57</v>
      </c>
      <c r="O48" s="54">
        <f>L48*G3+N48*H3</f>
        <v>26410</v>
      </c>
      <c r="P48" s="54">
        <f>(L48-12)*J3</f>
        <v>5200</v>
      </c>
      <c r="Q48" s="54"/>
      <c r="R48" s="37">
        <v>19</v>
      </c>
    </row>
    <row r="49" spans="1:21">
      <c r="A49" s="52">
        <v>45474</v>
      </c>
      <c r="B49" s="40">
        <v>54</v>
      </c>
      <c r="C49" s="40">
        <v>48</v>
      </c>
      <c r="D49" s="40">
        <v>28</v>
      </c>
      <c r="E49" s="40">
        <v>46</v>
      </c>
      <c r="F49" s="53">
        <f>B49*B3+D49*C3</f>
        <v>32891.84</v>
      </c>
      <c r="G49" s="54">
        <f t="shared" si="7"/>
        <v>8</v>
      </c>
      <c r="H49" s="54">
        <f t="shared" si="8"/>
        <v>184</v>
      </c>
      <c r="I49" s="54">
        <f>H49*G3</f>
        <v>58880</v>
      </c>
      <c r="J49" s="54">
        <f>R49*I3</f>
        <v>6900</v>
      </c>
      <c r="K49" s="54">
        <v>2</v>
      </c>
      <c r="L49" s="54">
        <v>42</v>
      </c>
      <c r="M49" s="54">
        <v>3</v>
      </c>
      <c r="N49" s="54">
        <v>65</v>
      </c>
      <c r="O49" s="54">
        <f>L49*G3+N49*H3</f>
        <v>29690</v>
      </c>
      <c r="P49" s="54">
        <f>(L49-12)*J3</f>
        <v>6000</v>
      </c>
      <c r="Q49" s="54"/>
      <c r="R49" s="37">
        <v>23</v>
      </c>
    </row>
    <row r="50" spans="1:21">
      <c r="A50" s="52">
        <v>45505</v>
      </c>
      <c r="B50" s="40">
        <v>60</v>
      </c>
      <c r="C50" s="40">
        <v>69</v>
      </c>
      <c r="D50" s="40">
        <v>12</v>
      </c>
      <c r="E50" s="40">
        <v>31</v>
      </c>
      <c r="F50" s="53">
        <f>B50*B3+D50*C3</f>
        <v>27296.52</v>
      </c>
      <c r="G50" s="54">
        <f t="shared" si="7"/>
        <v>8</v>
      </c>
      <c r="H50" s="54">
        <f t="shared" si="8"/>
        <v>176</v>
      </c>
      <c r="I50" s="54">
        <f>H50*G3</f>
        <v>56320</v>
      </c>
      <c r="J50" s="54">
        <f>R50*I3</f>
        <v>6600</v>
      </c>
      <c r="K50" s="54">
        <v>2</v>
      </c>
      <c r="L50" s="54">
        <v>36</v>
      </c>
      <c r="M50" s="54">
        <v>3</v>
      </c>
      <c r="N50" s="54">
        <v>58</v>
      </c>
      <c r="O50" s="54">
        <f>L50*G3+N50*H3</f>
        <v>26020</v>
      </c>
      <c r="P50" s="54">
        <f>(L50-12)*J3</f>
        <v>4800</v>
      </c>
      <c r="Q50" s="54"/>
      <c r="R50" s="37">
        <v>22</v>
      </c>
    </row>
    <row r="51" spans="1:21">
      <c r="A51" s="52">
        <v>45536</v>
      </c>
      <c r="B51" s="40">
        <v>139</v>
      </c>
      <c r="C51" s="40">
        <v>129</v>
      </c>
      <c r="D51" s="40">
        <v>17</v>
      </c>
      <c r="E51" s="40">
        <v>66</v>
      </c>
      <c r="F51" s="53">
        <f>B51*B3+D51*C3</f>
        <v>58009.63</v>
      </c>
      <c r="G51" s="54">
        <f t="shared" si="7"/>
        <v>8</v>
      </c>
      <c r="H51" s="54">
        <f t="shared" si="8"/>
        <v>168</v>
      </c>
      <c r="I51" s="54">
        <f>H51*G3</f>
        <v>53760</v>
      </c>
      <c r="J51" s="54">
        <f>R51*I3</f>
        <v>6300</v>
      </c>
      <c r="K51" s="54">
        <v>2</v>
      </c>
      <c r="L51" s="54">
        <v>42</v>
      </c>
      <c r="M51" s="54">
        <v>3</v>
      </c>
      <c r="N51" s="54">
        <v>63</v>
      </c>
      <c r="O51" s="54">
        <f>L51*G3+N51*H3</f>
        <v>29190</v>
      </c>
      <c r="P51" s="54">
        <f>(L51-12)*J3</f>
        <v>6000</v>
      </c>
      <c r="Q51" s="54"/>
      <c r="R51" s="37">
        <v>21</v>
      </c>
    </row>
    <row r="52" spans="1:21">
      <c r="A52" s="52">
        <v>45566</v>
      </c>
      <c r="B52" s="40">
        <v>78</v>
      </c>
      <c r="C52" s="40">
        <v>99</v>
      </c>
      <c r="D52" s="40">
        <v>7</v>
      </c>
      <c r="E52" s="40">
        <v>17</v>
      </c>
      <c r="F52" s="53">
        <f>B52*B3+D52*C3</f>
        <v>31322.99</v>
      </c>
      <c r="G52" s="54">
        <f t="shared" si="7"/>
        <v>8</v>
      </c>
      <c r="H52" s="54">
        <f t="shared" si="8"/>
        <v>152</v>
      </c>
      <c r="I52" s="54">
        <f>H52*G3</f>
        <v>48640</v>
      </c>
      <c r="J52" s="54">
        <f>R52*I3</f>
        <v>5700</v>
      </c>
      <c r="K52" s="54">
        <v>2</v>
      </c>
      <c r="L52" s="54">
        <v>34</v>
      </c>
      <c r="M52" s="54">
        <v>3</v>
      </c>
      <c r="N52" s="54">
        <v>53</v>
      </c>
      <c r="O52" s="54">
        <f>L52*G3+N52*H3</f>
        <v>24130</v>
      </c>
      <c r="P52" s="54">
        <f>(L52-12)*J3</f>
        <v>4400</v>
      </c>
      <c r="Q52" s="54"/>
      <c r="R52" s="37">
        <v>19</v>
      </c>
    </row>
    <row r="53" spans="1:21">
      <c r="A53" s="52">
        <v>45597</v>
      </c>
      <c r="B53" s="40">
        <v>78</v>
      </c>
      <c r="C53" s="40">
        <v>106</v>
      </c>
      <c r="D53" s="40">
        <v>34</v>
      </c>
      <c r="E53" s="40">
        <v>34</v>
      </c>
      <c r="F53" s="53">
        <f>B53*B3+D53*C3</f>
        <v>44391.26</v>
      </c>
      <c r="G53" s="54">
        <f t="shared" si="7"/>
        <v>8</v>
      </c>
      <c r="H53" s="54">
        <f t="shared" si="8"/>
        <v>168</v>
      </c>
      <c r="I53" s="54">
        <f>H53*G3</f>
        <v>53760</v>
      </c>
      <c r="J53" s="54">
        <f>R53*I3</f>
        <v>6300</v>
      </c>
      <c r="K53" s="54">
        <v>2</v>
      </c>
      <c r="L53" s="54">
        <v>38</v>
      </c>
      <c r="M53" s="54">
        <v>3</v>
      </c>
      <c r="N53" s="54">
        <v>59</v>
      </c>
      <c r="O53" s="54">
        <f>L53*G3+N53*H3</f>
        <v>26910</v>
      </c>
      <c r="P53" s="54">
        <f>(L53-12)*J3</f>
        <v>5200</v>
      </c>
      <c r="Q53" s="54"/>
      <c r="R53" s="37">
        <v>21</v>
      </c>
    </row>
    <row r="54" spans="1:21">
      <c r="A54" s="52">
        <v>45627</v>
      </c>
      <c r="B54" s="40">
        <v>38</v>
      </c>
      <c r="C54" s="40">
        <v>63</v>
      </c>
      <c r="D54" s="40">
        <v>30</v>
      </c>
      <c r="E54" s="40">
        <v>33</v>
      </c>
      <c r="F54" s="53">
        <f>B54*B3+D54*C3</f>
        <v>28129.62</v>
      </c>
      <c r="G54" s="54">
        <f t="shared" si="7"/>
        <v>8</v>
      </c>
      <c r="H54" s="54">
        <f t="shared" si="8"/>
        <v>176</v>
      </c>
      <c r="I54" s="54">
        <f>H54*G3</f>
        <v>56320</v>
      </c>
      <c r="J54" s="54">
        <f>R54*I3</f>
        <v>6600</v>
      </c>
      <c r="K54" s="54">
        <v>2</v>
      </c>
      <c r="L54" s="54">
        <v>40</v>
      </c>
      <c r="M54" s="54">
        <v>3</v>
      </c>
      <c r="N54" s="54">
        <v>62</v>
      </c>
      <c r="O54" s="54">
        <f>L54*G3+N54*H3</f>
        <v>28300</v>
      </c>
      <c r="P54" s="54">
        <f>(L54-12)*J3</f>
        <v>5600</v>
      </c>
      <c r="Q54" s="54"/>
      <c r="R54" s="37">
        <v>22</v>
      </c>
    </row>
    <row r="55" ht="15.75" spans="1:21">
      <c r="A55" s="61" t="s">
        <v>84</v>
      </c>
      <c r="B55" s="56">
        <f>SUM(B43:B54)</f>
        <v>625</v>
      </c>
      <c r="C55" s="56">
        <f>SUM(C43:C54)</f>
        <v>729</v>
      </c>
      <c r="D55" s="56">
        <f t="shared" ref="D55:F55" si="9">SUM(D43:D54)</f>
        <v>184</v>
      </c>
      <c r="E55" s="56">
        <f t="shared" si="9"/>
        <v>312</v>
      </c>
      <c r="F55" s="57">
        <f t="shared" si="9"/>
        <v>312895.34</v>
      </c>
      <c r="G55" s="58"/>
      <c r="H55" s="58">
        <f>SUM(H43:H54)</f>
        <v>1832</v>
      </c>
      <c r="I55" s="58">
        <f>SUM(I43:I54)</f>
        <v>586240</v>
      </c>
      <c r="J55" s="58">
        <f>SUM(J44:J54)</f>
        <v>65100</v>
      </c>
      <c r="K55" s="58"/>
      <c r="L55" s="58">
        <f>SUM(L43:L54)</f>
        <v>414</v>
      </c>
      <c r="M55" s="58"/>
      <c r="N55" s="58">
        <f>SUM(N43:N54)</f>
        <v>665</v>
      </c>
      <c r="O55" s="58">
        <f>SUM(O43:O54)</f>
        <v>298730</v>
      </c>
      <c r="P55" s="58">
        <f>SUM(P43:P54)</f>
        <v>56400</v>
      </c>
      <c r="Q55" s="59">
        <f>I55+J55+O55+P55</f>
        <v>1006470</v>
      </c>
      <c r="R55" s="37"/>
      <c r="U55" s="62"/>
    </row>
    <row r="56" spans="1:21">
      <c r="A56" s="52">
        <v>45658</v>
      </c>
      <c r="B56" s="40">
        <v>29</v>
      </c>
      <c r="C56" s="40">
        <v>29</v>
      </c>
      <c r="D56" s="40">
        <v>13</v>
      </c>
      <c r="E56" s="40">
        <v>13</v>
      </c>
      <c r="F56" s="53">
        <f>B56*B3+D56*C3</f>
        <v>16678.19</v>
      </c>
      <c r="G56" s="54">
        <f>6+2</f>
        <v>8</v>
      </c>
      <c r="H56" s="54">
        <f>G56*R56</f>
        <v>152</v>
      </c>
      <c r="I56" s="54">
        <f>H56*G3</f>
        <v>48640</v>
      </c>
      <c r="J56" s="54">
        <f>R56*I3*2</f>
        <v>11400</v>
      </c>
      <c r="K56" s="54"/>
      <c r="L56" s="54"/>
      <c r="M56" s="54"/>
      <c r="N56" s="54"/>
      <c r="O56" s="54"/>
      <c r="P56" s="54"/>
      <c r="Q56" s="54"/>
      <c r="R56" s="37">
        <v>19</v>
      </c>
    </row>
    <row r="57" spans="1:21">
      <c r="A57" s="52">
        <v>45689</v>
      </c>
      <c r="B57" s="40">
        <v>18</v>
      </c>
      <c r="C57" s="40">
        <v>18</v>
      </c>
      <c r="D57" s="40">
        <v>16</v>
      </c>
      <c r="E57" s="40">
        <v>16</v>
      </c>
      <c r="F57" s="53">
        <f>B57*B3+D57*C3</f>
        <v>14190.68</v>
      </c>
      <c r="G57" s="54">
        <f t="shared" ref="G57:G67" si="10">6+2</f>
        <v>8</v>
      </c>
      <c r="H57" s="54">
        <f t="shared" ref="H57:H67" si="11">G57*R57</f>
        <v>152</v>
      </c>
      <c r="I57" s="54">
        <f>H57*G3</f>
        <v>48640</v>
      </c>
      <c r="J57" s="54">
        <f>R57*I3*2</f>
        <v>11400</v>
      </c>
      <c r="K57" s="54"/>
      <c r="L57" s="54"/>
      <c r="M57" s="54"/>
      <c r="N57" s="54"/>
      <c r="O57" s="54"/>
      <c r="P57" s="54"/>
      <c r="Q57" s="54"/>
      <c r="R57" s="37">
        <v>19</v>
      </c>
    </row>
    <row r="58" spans="1:21">
      <c r="A58" s="52">
        <v>45717</v>
      </c>
      <c r="B58" s="40">
        <v>35</v>
      </c>
      <c r="C58" s="40">
        <v>35</v>
      </c>
      <c r="D58" s="40">
        <v>36</v>
      </c>
      <c r="E58" s="40">
        <v>36</v>
      </c>
      <c r="F58" s="53">
        <f>B58*B3+D58*C3</f>
        <v>29959.26</v>
      </c>
      <c r="G58" s="54">
        <f t="shared" si="10"/>
        <v>8</v>
      </c>
      <c r="H58" s="54">
        <f t="shared" si="11"/>
        <v>168</v>
      </c>
      <c r="I58" s="54">
        <f>H58*G3</f>
        <v>53760</v>
      </c>
      <c r="J58" s="54">
        <f>R58*I3*2</f>
        <v>12600</v>
      </c>
      <c r="K58" s="54"/>
      <c r="L58" s="54"/>
      <c r="M58" s="54"/>
      <c r="N58" s="54"/>
      <c r="O58" s="54"/>
      <c r="P58" s="54"/>
      <c r="Q58" s="54"/>
      <c r="R58" s="37">
        <v>21</v>
      </c>
    </row>
    <row r="59" spans="1:21">
      <c r="A59" s="52">
        <v>45748</v>
      </c>
      <c r="B59" s="40">
        <v>140</v>
      </c>
      <c r="C59" s="40">
        <v>140</v>
      </c>
      <c r="D59" s="40">
        <v>39</v>
      </c>
      <c r="E59" s="40">
        <v>39</v>
      </c>
      <c r="F59" s="53">
        <f>B59*B3+D59*C3</f>
        <v>69015.99</v>
      </c>
      <c r="G59" s="54">
        <f t="shared" si="10"/>
        <v>8</v>
      </c>
      <c r="H59" s="54">
        <f t="shared" si="11"/>
        <v>176</v>
      </c>
      <c r="I59" s="54">
        <f>H59*G3</f>
        <v>56320</v>
      </c>
      <c r="J59" s="54">
        <f>R59*I3*2</f>
        <v>13200</v>
      </c>
      <c r="K59" s="54">
        <v>1</v>
      </c>
      <c r="L59" s="54">
        <v>25</v>
      </c>
      <c r="M59" s="54">
        <v>1</v>
      </c>
      <c r="N59" s="54">
        <v>25</v>
      </c>
      <c r="O59" s="54">
        <f>L59*G3+N59*H3</f>
        <v>14250</v>
      </c>
      <c r="P59" s="54">
        <f>L59*J3</f>
        <v>5000</v>
      </c>
      <c r="Q59" s="54"/>
      <c r="R59" s="37">
        <v>22</v>
      </c>
    </row>
    <row r="60" spans="1:21">
      <c r="A60" s="52">
        <v>45778</v>
      </c>
      <c r="B60" s="40">
        <v>199</v>
      </c>
      <c r="C60" s="40">
        <v>199</v>
      </c>
      <c r="D60" s="40">
        <v>55</v>
      </c>
      <c r="E60" s="40">
        <v>55</v>
      </c>
      <c r="F60" s="53">
        <f>B60*B3+D60*C3</f>
        <v>97890.41</v>
      </c>
      <c r="G60" s="54">
        <f t="shared" si="10"/>
        <v>8</v>
      </c>
      <c r="H60" s="54">
        <f t="shared" si="11"/>
        <v>152</v>
      </c>
      <c r="I60" s="54">
        <f>H60*G3</f>
        <v>48640</v>
      </c>
      <c r="J60" s="54">
        <f>R60*I3*2</f>
        <v>11400</v>
      </c>
      <c r="K60" s="54">
        <v>1</v>
      </c>
      <c r="L60" s="54">
        <v>23</v>
      </c>
      <c r="M60" s="54">
        <v>1</v>
      </c>
      <c r="N60" s="54">
        <v>23</v>
      </c>
      <c r="O60" s="54">
        <f>L60*G3+N60*H3</f>
        <v>13110</v>
      </c>
      <c r="P60" s="54">
        <f>L60*J3</f>
        <v>4600</v>
      </c>
      <c r="Q60" s="54"/>
      <c r="R60" s="37">
        <v>19</v>
      </c>
    </row>
    <row r="61" spans="1:21">
      <c r="A61" s="52">
        <v>45809</v>
      </c>
      <c r="B61" s="40">
        <v>141</v>
      </c>
      <c r="C61" s="40">
        <v>140</v>
      </c>
      <c r="D61" s="40">
        <v>61</v>
      </c>
      <c r="E61" s="40">
        <v>62</v>
      </c>
      <c r="F61" s="53">
        <f>B61*B3+D61*C3</f>
        <v>80022.35</v>
      </c>
      <c r="G61" s="54">
        <f t="shared" si="10"/>
        <v>8</v>
      </c>
      <c r="H61" s="54">
        <f t="shared" si="11"/>
        <v>160</v>
      </c>
      <c r="I61" s="54">
        <f>H61*G3</f>
        <v>51200</v>
      </c>
      <c r="J61" s="54">
        <f>R61*I3*2</f>
        <v>12000</v>
      </c>
      <c r="K61" s="54">
        <v>1</v>
      </c>
      <c r="L61" s="54">
        <v>24</v>
      </c>
      <c r="M61" s="54">
        <v>1</v>
      </c>
      <c r="N61" s="54">
        <v>24</v>
      </c>
      <c r="O61" s="54">
        <f>L61*G3+N61*H3</f>
        <v>13680</v>
      </c>
      <c r="P61" s="54">
        <f>L61*J3</f>
        <v>4800</v>
      </c>
      <c r="Q61" s="54"/>
      <c r="R61" s="37">
        <v>20</v>
      </c>
    </row>
    <row r="62" spans="1:21">
      <c r="A62" s="52">
        <v>45839</v>
      </c>
      <c r="B62" s="40">
        <v>118</v>
      </c>
      <c r="C62" s="40">
        <v>118</v>
      </c>
      <c r="D62" s="40">
        <v>59</v>
      </c>
      <c r="E62" s="40">
        <v>59</v>
      </c>
      <c r="F62" s="53">
        <f>B62*B3+D62*C3</f>
        <v>70817.11</v>
      </c>
      <c r="G62" s="54">
        <f t="shared" si="10"/>
        <v>8</v>
      </c>
      <c r="H62" s="54">
        <f t="shared" si="11"/>
        <v>184</v>
      </c>
      <c r="I62" s="54">
        <f>H62*G3</f>
        <v>58880</v>
      </c>
      <c r="J62" s="54">
        <f>R62*I3*2</f>
        <v>13800</v>
      </c>
      <c r="K62" s="54">
        <v>1</v>
      </c>
      <c r="L62" s="54">
        <v>27</v>
      </c>
      <c r="M62" s="54">
        <v>1</v>
      </c>
      <c r="N62" s="54">
        <v>27</v>
      </c>
      <c r="O62" s="54">
        <f>L62*G3+N62*H3</f>
        <v>15390</v>
      </c>
      <c r="P62" s="54">
        <f>L62*J3</f>
        <v>5400</v>
      </c>
      <c r="Q62" s="54"/>
      <c r="R62" s="37">
        <v>23</v>
      </c>
    </row>
    <row r="63" spans="1:21">
      <c r="A63" s="52">
        <v>45870</v>
      </c>
      <c r="B63" s="40">
        <v>110</v>
      </c>
      <c r="C63" s="40">
        <v>110</v>
      </c>
      <c r="D63" s="40">
        <v>50</v>
      </c>
      <c r="E63" s="40">
        <v>50</v>
      </c>
      <c r="F63" s="53">
        <f>B63*B3+D63*C3</f>
        <v>63595.9</v>
      </c>
      <c r="G63" s="54">
        <f t="shared" si="10"/>
        <v>8</v>
      </c>
      <c r="H63" s="54">
        <f t="shared" si="11"/>
        <v>168</v>
      </c>
      <c r="I63" s="54">
        <f>H63*G3</f>
        <v>53760</v>
      </c>
      <c r="J63" s="54">
        <f>R63*I3*2</f>
        <v>12600</v>
      </c>
      <c r="K63" s="54">
        <v>2</v>
      </c>
      <c r="L63" s="54">
        <v>46</v>
      </c>
      <c r="M63" s="54">
        <v>2</v>
      </c>
      <c r="N63" s="54">
        <v>46</v>
      </c>
      <c r="O63" s="54">
        <f>L63*G3+N63*H3</f>
        <v>26220</v>
      </c>
      <c r="P63" s="54">
        <f>L63*J3</f>
        <v>9200</v>
      </c>
      <c r="Q63" s="54"/>
      <c r="R63" s="37">
        <v>21</v>
      </c>
    </row>
    <row r="64" spans="1:21">
      <c r="A64" s="52">
        <v>45901</v>
      </c>
      <c r="B64" s="40">
        <v>178</v>
      </c>
      <c r="C64" s="40">
        <v>178</v>
      </c>
      <c r="D64" s="40">
        <v>77</v>
      </c>
      <c r="E64" s="40">
        <v>77</v>
      </c>
      <c r="F64" s="53">
        <f>B64*B3+D64*C3</f>
        <v>101017.69</v>
      </c>
      <c r="G64" s="54">
        <f t="shared" si="10"/>
        <v>8</v>
      </c>
      <c r="H64" s="54">
        <f t="shared" si="11"/>
        <v>184</v>
      </c>
      <c r="I64" s="54">
        <f>H64*G3</f>
        <v>58880</v>
      </c>
      <c r="J64" s="54">
        <f>R64*I3*2</f>
        <v>13800</v>
      </c>
      <c r="K64" s="54">
        <v>2</v>
      </c>
      <c r="L64" s="54">
        <v>50</v>
      </c>
      <c r="M64" s="54">
        <v>2</v>
      </c>
      <c r="N64" s="54">
        <v>50</v>
      </c>
      <c r="O64" s="54">
        <f>L64*G3+N64*H3</f>
        <v>28500</v>
      </c>
      <c r="P64" s="54">
        <f>L64*J3</f>
        <v>10000</v>
      </c>
      <c r="Q64" s="54"/>
      <c r="R64" s="37">
        <v>23</v>
      </c>
    </row>
    <row r="65" spans="1:18">
      <c r="A65" s="52">
        <v>45931</v>
      </c>
      <c r="B65" s="40">
        <v>79</v>
      </c>
      <c r="C65" s="40">
        <v>79</v>
      </c>
      <c r="D65" s="40">
        <v>34</v>
      </c>
      <c r="E65" s="40">
        <v>34</v>
      </c>
      <c r="F65" s="53">
        <f>B65*B3+D65*C3</f>
        <v>44749.4</v>
      </c>
      <c r="G65" s="54">
        <f t="shared" si="10"/>
        <v>8</v>
      </c>
      <c r="H65" s="54">
        <f t="shared" si="11"/>
        <v>144</v>
      </c>
      <c r="I65" s="54">
        <f>H65*G3</f>
        <v>46080</v>
      </c>
      <c r="J65" s="54">
        <f>R65*I3*2</f>
        <v>10800</v>
      </c>
      <c r="K65" s="54">
        <v>2</v>
      </c>
      <c r="L65" s="54">
        <v>36</v>
      </c>
      <c r="M65" s="54">
        <v>2</v>
      </c>
      <c r="N65" s="54">
        <v>36</v>
      </c>
      <c r="O65" s="54">
        <f>L65*G3+N65*H3</f>
        <v>20520</v>
      </c>
      <c r="P65" s="54">
        <f>L65*J3</f>
        <v>7200</v>
      </c>
      <c r="Q65" s="54"/>
      <c r="R65" s="37">
        <v>18</v>
      </c>
    </row>
    <row r="66" spans="1:18">
      <c r="A66" s="52">
        <v>45962</v>
      </c>
      <c r="B66" s="40">
        <v>75</v>
      </c>
      <c r="C66" s="40">
        <v>75</v>
      </c>
      <c r="D66" s="40">
        <v>47</v>
      </c>
      <c r="E66" s="40">
        <v>47</v>
      </c>
      <c r="F66" s="53">
        <f>B66*B3+D66*C3</f>
        <v>49608.97</v>
      </c>
      <c r="G66" s="54">
        <f t="shared" si="10"/>
        <v>8</v>
      </c>
      <c r="H66" s="54">
        <f t="shared" si="11"/>
        <v>160</v>
      </c>
      <c r="I66" s="54">
        <f>H66*G3</f>
        <v>51200</v>
      </c>
      <c r="J66" s="54">
        <f>R66*I3*2</f>
        <v>12000</v>
      </c>
      <c r="K66" s="54">
        <v>2</v>
      </c>
      <c r="L66" s="54">
        <v>44</v>
      </c>
      <c r="M66" s="54">
        <v>2</v>
      </c>
      <c r="N66" s="54">
        <v>44</v>
      </c>
      <c r="O66" s="54">
        <f>L66*G3+N66*H3</f>
        <v>25080</v>
      </c>
      <c r="P66" s="54">
        <f>L66*J3</f>
        <v>8800</v>
      </c>
      <c r="Q66" s="54"/>
      <c r="R66" s="37">
        <v>20</v>
      </c>
    </row>
    <row r="67" spans="1:18">
      <c r="A67" s="52">
        <v>45992</v>
      </c>
      <c r="B67" s="40">
        <v>45</v>
      </c>
      <c r="C67" s="40">
        <v>45</v>
      </c>
      <c r="D67" s="40">
        <v>71</v>
      </c>
      <c r="E67" s="40">
        <v>71</v>
      </c>
      <c r="F67" s="53">
        <f>B67*B3+D67*C3</f>
        <v>50481.01</v>
      </c>
      <c r="G67" s="54">
        <f t="shared" si="10"/>
        <v>8</v>
      </c>
      <c r="H67" s="54">
        <f t="shared" si="11"/>
        <v>184</v>
      </c>
      <c r="I67" s="54">
        <f>H67*G3</f>
        <v>58880</v>
      </c>
      <c r="J67" s="54">
        <f>R67*I3*2</f>
        <v>13800</v>
      </c>
      <c r="K67" s="54">
        <v>2</v>
      </c>
      <c r="L67" s="54">
        <v>50</v>
      </c>
      <c r="M67" s="54">
        <v>2</v>
      </c>
      <c r="N67" s="54">
        <v>50</v>
      </c>
      <c r="O67" s="54">
        <f>L67*G3+N67*H3</f>
        <v>28500</v>
      </c>
      <c r="P67" s="54">
        <f>L67*J3</f>
        <v>10000</v>
      </c>
      <c r="Q67" s="54"/>
      <c r="R67" s="37">
        <v>23</v>
      </c>
    </row>
    <row r="68" ht="15.75" spans="1:18">
      <c r="A68" s="63" t="s">
        <v>85</v>
      </c>
      <c r="B68" s="56">
        <f>SUM(B56:B67)</f>
        <v>1167</v>
      </c>
      <c r="C68" s="56">
        <f>SUM(C56:C67)</f>
        <v>1166</v>
      </c>
      <c r="D68" s="56">
        <f>SUM(D56:D67)</f>
        <v>558</v>
      </c>
      <c r="E68" s="56">
        <f>SUM(E56:E67)</f>
        <v>559</v>
      </c>
      <c r="F68" s="57">
        <f>SUM(F56:F67)</f>
        <v>688026.96</v>
      </c>
      <c r="G68" s="58"/>
      <c r="H68" s="58">
        <f>SUM(H56:H67)</f>
        <v>1984</v>
      </c>
      <c r="I68" s="58">
        <f>SUM(I56:I67)</f>
        <v>634880</v>
      </c>
      <c r="J68" s="58">
        <f>SUM(J56:J67)</f>
        <v>148800</v>
      </c>
      <c r="K68" s="58"/>
      <c r="L68" s="58">
        <f>SUM(L59:L67)</f>
        <v>325</v>
      </c>
      <c r="M68" s="58"/>
      <c r="N68" s="58">
        <f t="shared" ref="N68" si="12">L68</f>
        <v>325</v>
      </c>
      <c r="O68" s="58">
        <f>SUM(O59:O67)</f>
        <v>185250</v>
      </c>
      <c r="P68" s="58">
        <f>SUM(P59:P67)</f>
        <v>65000</v>
      </c>
      <c r="Q68" s="59">
        <f>I68+J68+O68+P68</f>
        <v>1033930</v>
      </c>
      <c r="R68" s="37"/>
    </row>
    <row r="69" ht="63" customHeight="1" spans="1:18">
      <c r="A69" s="64" t="s">
        <v>86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</row>
  </sheetData>
  <mergeCells count="14">
    <mergeCell ref="B5:C5"/>
    <mergeCell ref="D5:E5"/>
    <mergeCell ref="G5:Q5"/>
    <mergeCell ref="G6:J6"/>
    <mergeCell ref="K6:P6"/>
    <mergeCell ref="A69:R69"/>
    <mergeCell ref="A5:A7"/>
    <mergeCell ref="B6:B7"/>
    <mergeCell ref="C6:C7"/>
    <mergeCell ref="D6:D7"/>
    <mergeCell ref="E6:E7"/>
    <mergeCell ref="F5:F7"/>
    <mergeCell ref="Q6:Q7"/>
    <mergeCell ref="R5:R7"/>
  </mergeCells>
  <printOptions horizontalCentered="1"/>
  <pageMargins left="0.748031496062992" right="0.748031496062992" top="0.984251968503937" bottom="0.984251968503937" header="0.511811023622047" footer="0.511811023622047"/>
  <pageSetup paperSize="9" scale="68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5"/>
  <sheetViews>
    <sheetView zoomScale="85" zoomScaleNormal="85" topLeftCell="B1" workbookViewId="0">
      <selection activeCell="E6" sqref="E6:E7"/>
    </sheetView>
  </sheetViews>
  <sheetFormatPr defaultColWidth="9" defaultRowHeight="13.5"/>
  <cols>
    <col min="1" max="1" width="12.5044247787611" style="1" customWidth="1"/>
    <col min="2" max="2" width="22.2477876106195" style="1" customWidth="1"/>
    <col min="3" max="3" width="17.2477876106195" style="1" customWidth="1"/>
    <col min="4" max="4" width="13.2477876106195" style="1" customWidth="1"/>
    <col min="5" max="5" width="16.7522123893805" style="1" customWidth="1"/>
    <col min="6" max="11" width="9" style="1"/>
    <col min="12" max="12" width="10.3716814159292" style="1" customWidth="1"/>
    <col min="13" max="13" width="9" style="1"/>
    <col min="14" max="14" width="10.1238938053097" style="1" customWidth="1"/>
    <col min="15" max="15" width="10.5044247787611" style="1" customWidth="1"/>
    <col min="16" max="16384" width="9" style="1"/>
  </cols>
  <sheetData>
    <row r="1" spans="1:21">
      <c r="A1" s="2" t="s">
        <v>87</v>
      </c>
      <c r="B1" s="3"/>
      <c r="C1" s="3"/>
      <c r="D1" s="3"/>
      <c r="E1" s="4"/>
      <c r="F1" s="2" t="s">
        <v>88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21.95" customHeight="1" spans="1:21">
      <c r="A2" s="5"/>
      <c r="B2" s="6"/>
      <c r="C2" s="6"/>
      <c r="D2" s="6"/>
      <c r="E2" s="7"/>
      <c r="F2" s="8" t="s">
        <v>89</v>
      </c>
      <c r="G2" s="9"/>
      <c r="H2" s="9"/>
      <c r="I2" s="9"/>
      <c r="J2" s="9"/>
      <c r="K2" s="9"/>
      <c r="L2" s="9"/>
      <c r="M2" s="9"/>
      <c r="N2" s="9"/>
      <c r="O2" s="9" t="s">
        <v>90</v>
      </c>
      <c r="P2" s="9"/>
      <c r="Q2" s="9"/>
      <c r="R2" s="9" t="s">
        <v>91</v>
      </c>
      <c r="S2" s="9" t="s">
        <v>92</v>
      </c>
      <c r="T2" s="9" t="s">
        <v>93</v>
      </c>
      <c r="U2" s="10" t="s">
        <v>20</v>
      </c>
    </row>
    <row r="3" ht="21" customHeight="1" spans="1:21">
      <c r="A3" s="8" t="s">
        <v>94</v>
      </c>
      <c r="B3" s="6" t="s">
        <v>95</v>
      </c>
      <c r="C3" s="6" t="s">
        <v>96</v>
      </c>
      <c r="D3" s="6" t="s">
        <v>97</v>
      </c>
      <c r="E3" s="7" t="s">
        <v>98</v>
      </c>
      <c r="F3" s="8" t="s">
        <v>99</v>
      </c>
      <c r="G3" s="9"/>
      <c r="H3" s="9"/>
      <c r="I3" s="9"/>
      <c r="J3" s="9" t="s">
        <v>100</v>
      </c>
      <c r="K3" s="9"/>
      <c r="L3" s="9"/>
      <c r="M3" s="9"/>
      <c r="N3" s="9"/>
      <c r="O3" s="9" t="s">
        <v>101</v>
      </c>
      <c r="P3" s="9"/>
      <c r="Q3" s="9" t="s">
        <v>102</v>
      </c>
      <c r="R3" s="9"/>
      <c r="S3" s="9"/>
      <c r="T3" s="9"/>
      <c r="U3" s="10"/>
    </row>
    <row r="4" ht="15" customHeight="1" spans="1:21">
      <c r="A4" s="8"/>
      <c r="B4" s="6"/>
      <c r="C4" s="6"/>
      <c r="D4" s="6"/>
      <c r="E4" s="7"/>
      <c r="F4" s="8" t="s">
        <v>103</v>
      </c>
      <c r="G4" s="9" t="s">
        <v>104</v>
      </c>
      <c r="H4" s="9"/>
      <c r="I4" s="9" t="s">
        <v>105</v>
      </c>
      <c r="J4" s="9" t="s">
        <v>106</v>
      </c>
      <c r="K4" s="9" t="s">
        <v>107</v>
      </c>
      <c r="L4" s="9" t="s">
        <v>108</v>
      </c>
      <c r="M4" s="9" t="s">
        <v>109</v>
      </c>
      <c r="N4" s="9" t="s">
        <v>110</v>
      </c>
      <c r="O4" s="9" t="s">
        <v>111</v>
      </c>
      <c r="P4" s="9" t="s">
        <v>112</v>
      </c>
      <c r="Q4" s="9"/>
      <c r="R4" s="9"/>
      <c r="S4" s="9"/>
      <c r="T4" s="9"/>
      <c r="U4" s="10"/>
    </row>
    <row r="5" ht="31.5" spans="1:21">
      <c r="A5" s="8"/>
      <c r="B5" s="6"/>
      <c r="C5" s="6"/>
      <c r="D5" s="6"/>
      <c r="E5" s="7"/>
      <c r="F5" s="8"/>
      <c r="G5" s="9" t="s">
        <v>113</v>
      </c>
      <c r="H5" s="9" t="s">
        <v>114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  <row r="6" ht="35.1" customHeight="1" spans="1:21">
      <c r="A6" s="11" t="s">
        <v>115</v>
      </c>
      <c r="B6" s="12" t="s">
        <v>116</v>
      </c>
      <c r="C6" s="13">
        <v>366.86</v>
      </c>
      <c r="D6" s="14">
        <f>C6+C7</f>
        <v>534.09</v>
      </c>
      <c r="E6" s="15">
        <f>U6</f>
        <v>1085.91</v>
      </c>
      <c r="F6" s="16">
        <v>364.23</v>
      </c>
      <c r="G6" s="17"/>
      <c r="H6" s="17">
        <v>0</v>
      </c>
      <c r="I6" s="17">
        <v>169.86</v>
      </c>
      <c r="J6" s="17">
        <v>0</v>
      </c>
      <c r="K6" s="17"/>
      <c r="L6" s="17">
        <v>10.842027</v>
      </c>
      <c r="M6" s="17"/>
      <c r="N6" s="17">
        <v>125.137287</v>
      </c>
      <c r="O6" s="17">
        <v>109.378269</v>
      </c>
      <c r="P6" s="17">
        <v>48.07836</v>
      </c>
      <c r="Q6" s="17">
        <v>102.491871</v>
      </c>
      <c r="R6" s="17">
        <v>66.22716</v>
      </c>
      <c r="S6" s="17"/>
      <c r="T6" s="17">
        <v>89.66204766</v>
      </c>
      <c r="U6" s="18">
        <v>1085.91</v>
      </c>
    </row>
    <row r="7" ht="48" spans="1:21">
      <c r="A7" s="19" t="s">
        <v>117</v>
      </c>
      <c r="B7" s="20" t="s">
        <v>118</v>
      </c>
      <c r="C7" s="21">
        <v>167.23</v>
      </c>
      <c r="D7" s="22"/>
      <c r="E7" s="23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</row>
    <row r="8" ht="42" customHeight="1" spans="1:2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ht="12.95" customHeight="1" spans="1:21">
      <c r="A9" s="2" t="s">
        <v>119</v>
      </c>
      <c r="B9" s="3"/>
      <c r="C9" s="3"/>
      <c r="D9" s="3"/>
      <c r="E9" s="4"/>
      <c r="F9" s="2" t="s">
        <v>88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ht="20.1" customHeight="1" spans="1:21">
      <c r="A10" s="5"/>
      <c r="B10" s="6"/>
      <c r="C10" s="6"/>
      <c r="D10" s="6"/>
      <c r="E10" s="7"/>
      <c r="F10" s="8" t="s">
        <v>89</v>
      </c>
      <c r="G10" s="9"/>
      <c r="H10" s="9"/>
      <c r="I10" s="9"/>
      <c r="J10" s="9"/>
      <c r="K10" s="9"/>
      <c r="L10" s="9"/>
      <c r="M10" s="9"/>
      <c r="N10" s="9"/>
      <c r="O10" s="9" t="s">
        <v>90</v>
      </c>
      <c r="P10" s="9"/>
      <c r="Q10" s="9"/>
      <c r="R10" s="9" t="s">
        <v>91</v>
      </c>
      <c r="S10" s="9" t="s">
        <v>92</v>
      </c>
      <c r="T10" s="9" t="s">
        <v>93</v>
      </c>
      <c r="U10" s="10" t="s">
        <v>20</v>
      </c>
    </row>
    <row r="11" ht="21" customHeight="1" spans="1:21">
      <c r="A11" s="8" t="s">
        <v>94</v>
      </c>
      <c r="B11" s="6" t="s">
        <v>95</v>
      </c>
      <c r="C11" s="6" t="s">
        <v>96</v>
      </c>
      <c r="D11" s="6" t="s">
        <v>97</v>
      </c>
      <c r="E11" s="7" t="s">
        <v>98</v>
      </c>
      <c r="F11" s="8" t="s">
        <v>99</v>
      </c>
      <c r="G11" s="9"/>
      <c r="H11" s="9"/>
      <c r="I11" s="9"/>
      <c r="J11" s="9" t="s">
        <v>100</v>
      </c>
      <c r="K11" s="9"/>
      <c r="L11" s="9"/>
      <c r="M11" s="9"/>
      <c r="N11" s="9"/>
      <c r="O11" s="9" t="s">
        <v>101</v>
      </c>
      <c r="P11" s="9"/>
      <c r="Q11" s="9" t="s">
        <v>102</v>
      </c>
      <c r="R11" s="9"/>
      <c r="S11" s="9"/>
      <c r="T11" s="9"/>
      <c r="U11" s="10"/>
    </row>
    <row r="12" ht="21" customHeight="1" spans="1:21">
      <c r="A12" s="8"/>
      <c r="B12" s="6"/>
      <c r="C12" s="6"/>
      <c r="D12" s="6"/>
      <c r="E12" s="7"/>
      <c r="F12" s="8" t="s">
        <v>103</v>
      </c>
      <c r="G12" s="9" t="s">
        <v>104</v>
      </c>
      <c r="H12" s="9"/>
      <c r="I12" s="9" t="s">
        <v>105</v>
      </c>
      <c r="J12" s="9" t="s">
        <v>106</v>
      </c>
      <c r="K12" s="9" t="s">
        <v>107</v>
      </c>
      <c r="L12" s="9" t="s">
        <v>108</v>
      </c>
      <c r="M12" s="9" t="s">
        <v>109</v>
      </c>
      <c r="N12" s="9" t="s">
        <v>110</v>
      </c>
      <c r="O12" s="9" t="s">
        <v>111</v>
      </c>
      <c r="P12" s="9" t="s">
        <v>112</v>
      </c>
      <c r="Q12" s="9"/>
      <c r="R12" s="9"/>
      <c r="S12" s="9"/>
      <c r="T12" s="9"/>
      <c r="U12" s="10"/>
    </row>
    <row r="13" ht="42" customHeight="1" spans="1:21">
      <c r="A13" s="8"/>
      <c r="B13" s="6"/>
      <c r="C13" s="6"/>
      <c r="D13" s="6"/>
      <c r="E13" s="7"/>
      <c r="F13" s="8"/>
      <c r="G13" s="9" t="s">
        <v>113</v>
      </c>
      <c r="H13" s="9" t="s">
        <v>114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</row>
    <row r="14" ht="40.5" spans="1:21">
      <c r="A14" s="29" t="s">
        <v>120</v>
      </c>
      <c r="B14" s="30" t="s">
        <v>121</v>
      </c>
      <c r="C14" s="31">
        <v>202.41</v>
      </c>
      <c r="D14" s="14">
        <f>C14+C15</f>
        <v>699.7</v>
      </c>
      <c r="E14" s="15">
        <f>U14</f>
        <v>1459.58</v>
      </c>
      <c r="F14" s="16">
        <v>580.8</v>
      </c>
      <c r="G14" s="17"/>
      <c r="H14" s="17">
        <v>27.47</v>
      </c>
      <c r="I14" s="17">
        <v>91.43</v>
      </c>
      <c r="J14" s="17">
        <v>0</v>
      </c>
      <c r="K14" s="17"/>
      <c r="L14" s="17">
        <v>13.646269</v>
      </c>
      <c r="M14" s="17"/>
      <c r="N14" s="17">
        <v>157.503489</v>
      </c>
      <c r="O14" s="17">
        <v>174.41424</v>
      </c>
      <c r="P14" s="17">
        <v>76.6656</v>
      </c>
      <c r="Q14" s="17">
        <v>133.77377</v>
      </c>
      <c r="R14" s="17">
        <v>83.35652</v>
      </c>
      <c r="S14" s="17"/>
      <c r="T14" s="17">
        <v>120.51538992</v>
      </c>
      <c r="U14" s="18">
        <v>1459.58</v>
      </c>
    </row>
    <row r="15" ht="54.75" spans="1:21">
      <c r="A15" s="32" t="s">
        <v>122</v>
      </c>
      <c r="B15" s="33" t="s">
        <v>123</v>
      </c>
      <c r="C15" s="34">
        <v>497.29</v>
      </c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/>
    </row>
  </sheetData>
  <mergeCells count="91">
    <mergeCell ref="F1:U1"/>
    <mergeCell ref="F2:N2"/>
    <mergeCell ref="O2:Q2"/>
    <mergeCell ref="F3:I3"/>
    <mergeCell ref="J3:N3"/>
    <mergeCell ref="O3:P3"/>
    <mergeCell ref="G4:H4"/>
    <mergeCell ref="B8:U8"/>
    <mergeCell ref="F9:U9"/>
    <mergeCell ref="F10:N10"/>
    <mergeCell ref="O10:Q10"/>
    <mergeCell ref="F11:I11"/>
    <mergeCell ref="J11:N11"/>
    <mergeCell ref="O11:P11"/>
    <mergeCell ref="G12:H12"/>
    <mergeCell ref="A3:A5"/>
    <mergeCell ref="A11:A13"/>
    <mergeCell ref="B3:B5"/>
    <mergeCell ref="B11:B13"/>
    <mergeCell ref="C3:C5"/>
    <mergeCell ref="C11:C13"/>
    <mergeCell ref="D3:D5"/>
    <mergeCell ref="D6:D7"/>
    <mergeCell ref="D11:D13"/>
    <mergeCell ref="D14:D15"/>
    <mergeCell ref="E3:E5"/>
    <mergeCell ref="E6:E7"/>
    <mergeCell ref="E11:E13"/>
    <mergeCell ref="E14:E15"/>
    <mergeCell ref="F4:F5"/>
    <mergeCell ref="F6:F7"/>
    <mergeCell ref="F12:F13"/>
    <mergeCell ref="F14:F15"/>
    <mergeCell ref="G6:G7"/>
    <mergeCell ref="G14:G15"/>
    <mergeCell ref="H6:H7"/>
    <mergeCell ref="H14:H15"/>
    <mergeCell ref="I4:I5"/>
    <mergeCell ref="I6:I7"/>
    <mergeCell ref="I12:I13"/>
    <mergeCell ref="I14:I15"/>
    <mergeCell ref="J4:J5"/>
    <mergeCell ref="J6:J7"/>
    <mergeCell ref="J12:J13"/>
    <mergeCell ref="J14:J15"/>
    <mergeCell ref="K4:K5"/>
    <mergeCell ref="K6:K7"/>
    <mergeCell ref="K12:K13"/>
    <mergeCell ref="K14:K15"/>
    <mergeCell ref="L4:L5"/>
    <mergeCell ref="L6:L7"/>
    <mergeCell ref="L12:L13"/>
    <mergeCell ref="L14:L15"/>
    <mergeCell ref="M4:M5"/>
    <mergeCell ref="M6:M7"/>
    <mergeCell ref="M12:M13"/>
    <mergeCell ref="M14:M15"/>
    <mergeCell ref="N4:N5"/>
    <mergeCell ref="N6:N7"/>
    <mergeCell ref="N12:N13"/>
    <mergeCell ref="N14:N15"/>
    <mergeCell ref="O4:O5"/>
    <mergeCell ref="O6:O7"/>
    <mergeCell ref="O12:O13"/>
    <mergeCell ref="O14:O15"/>
    <mergeCell ref="P4:P5"/>
    <mergeCell ref="P6:P7"/>
    <mergeCell ref="P12:P13"/>
    <mergeCell ref="P14:P15"/>
    <mergeCell ref="Q3:Q5"/>
    <mergeCell ref="Q6:Q7"/>
    <mergeCell ref="Q11:Q13"/>
    <mergeCell ref="Q14:Q15"/>
    <mergeCell ref="R2:R5"/>
    <mergeCell ref="R6:R7"/>
    <mergeCell ref="R10:R13"/>
    <mergeCell ref="R14:R15"/>
    <mergeCell ref="S2:S5"/>
    <mergeCell ref="S6:S7"/>
    <mergeCell ref="S10:S13"/>
    <mergeCell ref="S14:S15"/>
    <mergeCell ref="T2:T5"/>
    <mergeCell ref="T6:T7"/>
    <mergeCell ref="T10:T13"/>
    <mergeCell ref="T14:T15"/>
    <mergeCell ref="U2:U5"/>
    <mergeCell ref="U6:U7"/>
    <mergeCell ref="U10:U13"/>
    <mergeCell ref="U14:U15"/>
    <mergeCell ref="A1:E2"/>
    <mergeCell ref="A9:E10"/>
  </mergeCells>
  <printOptions horizontalCentered="1"/>
  <pageMargins left="0.748031496062992" right="0.748031496062992" top="0.984251968503937" bottom="0.984251968503937" header="0.511811023622047" footer="0.511811023622047"/>
  <pageSetup paperSize="9" scale="5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费用构成</vt:lpstr>
      <vt:lpstr>明细</vt:lpstr>
      <vt:lpstr>市公司结算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kid</cp:lastModifiedBy>
  <dcterms:created xsi:type="dcterms:W3CDTF">2025-10-21T00:54:00Z</dcterms:created>
  <cp:lastPrinted>2026-05-18T01:12:00Z</cp:lastPrinted>
  <dcterms:modified xsi:type="dcterms:W3CDTF">2026-09-14T11:36:23Z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52BB3BB2603E4EEDA4597ACBEB292DBC_12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